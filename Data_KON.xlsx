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c/Desktop/Econometric in practice/data/"/>
    </mc:Choice>
  </mc:AlternateContent>
  <xr:revisionPtr revIDLastSave="0" documentId="13_ncr:1_{B2081428-E361-E344-A4CE-071B113957D5}" xr6:coauthVersionLast="47" xr6:coauthVersionMax="47" xr10:uidLastSave="{00000000-0000-0000-0000-000000000000}"/>
  <bookViews>
    <workbookView xWindow="0" yWindow="500" windowWidth="23260" windowHeight="12580" xr2:uid="{00000000-000D-0000-FFFF-FFFF00000000}"/>
  </bookViews>
  <sheets>
    <sheet name="Data" sheetId="1" r:id="rId1"/>
    <sheet name="Variabl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2" i="1"/>
</calcChain>
</file>

<file path=xl/sharedStrings.xml><?xml version="1.0" encoding="utf-8"?>
<sst xmlns="http://schemas.openxmlformats.org/spreadsheetml/2006/main" count="26" uniqueCount="23">
  <si>
    <t>KP</t>
  </si>
  <si>
    <t>KB</t>
  </si>
  <si>
    <t>CP</t>
  </si>
  <si>
    <t>inne ważne wydarzenia w tym okresie:</t>
  </si>
  <si>
    <t>month/year</t>
  </si>
  <si>
    <t>general business conditions, assessment, industrial processing, not seasonally adjusted</t>
  </si>
  <si>
    <t>forecast of the general business conditions, industrial processing, not seasonally adjusted</t>
  </si>
  <si>
    <t>price index of industrial production sold, corresponding period of the previous year = 100</t>
  </si>
  <si>
    <t>[source: Statistic Poland monthly bulletins]</t>
  </si>
  <si>
    <t xml:space="preserve"> EOS (end of sample) data</t>
  </si>
  <si>
    <t>Russian crisis</t>
  </si>
  <si>
    <t>financial crisis</t>
  </si>
  <si>
    <t>war in Ukraine</t>
  </si>
  <si>
    <t>European Union referendum</t>
  </si>
  <si>
    <t>Poland's accession to the EU</t>
  </si>
  <si>
    <t>COVID-19 pandemic</t>
  </si>
  <si>
    <t>July 2003</t>
  </si>
  <si>
    <t>May 2004</t>
  </si>
  <si>
    <t>November 1997 - Decenber 1998</t>
  </si>
  <si>
    <t>November 2008 - January 2010</t>
  </si>
  <si>
    <t>March 2020  – May 2022</t>
  </si>
  <si>
    <t>from Febuary 2022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</si>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</sst>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zł&quot;_-;\-* #,##0.00\ &quot;zł&quot;_-;_-* &quot;-&quot;??\ &quot;zł&quot;_-;_-@_-"/>
    <numFmt numFmtId="165" formatCode="_-* #,##0.00\ _z_ł_-;\-* #,##0.00\ _z_ł_-;_-* &quot;-&quot;??\ _z_ł_-;_-@_-"/>
    <numFmt numFmtId="166" formatCode="0.0"/>
    <numFmt numFmtId="167" formatCode="yyyy/mm"/>
    <numFmt numFmtId="168" formatCode="[$-415]mmmm\ yy;@"/>
    <numFmt numFmtId="169" formatCode="#,##0.0"/>
  </numFmts>
  <fonts count="8">
    <font>
      <sz val="10"/>
      <name val="Arial CE"/>
    </font>
    <font>
      <sz val="10"/>
      <name val="Arial CE"/>
    </font>
    <font>
      <sz val="8"/>
      <name val="Arial CE"/>
    </font>
    <font>
      <b/>
      <sz val="12"/>
      <name val="Times New Roman"/>
      <family val="1"/>
      <charset val="238"/>
    </font>
    <font>
      <sz val="12"/>
      <name val="Times New Roman"/>
      <family val="1"/>
      <charset val="238"/>
    </font>
    <font>
      <sz val="12"/>
      <name val="Arial CE"/>
    </font>
    <font>
      <sz val="11"/>
      <name val="Times New Roman"/>
      <family val="1"/>
      <charset val="238"/>
    </font>
    <font>
      <b/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31">
    <xf numFmtId="0" fontId="0" fillId="0" borderId="0" xfId="0"/>
    <xf numFmtId="166" fontId="1" fillId="0" borderId="0" xfId="0" applyNumberFormat="1" applyFont="1" applyAlignment="1">
      <alignment horizontal="right"/>
    </xf>
    <xf numFmtId="166" fontId="1" fillId="0" borderId="0" xfId="0" applyNumberFormat="1" applyFont="1"/>
    <xf numFmtId="4" fontId="3" fillId="0" borderId="0" xfId="0" applyNumberFormat="1" applyFont="1" applyAlignment="1">
      <alignment horizontal="center"/>
    </xf>
    <xf numFmtId="166" fontId="4" fillId="0" borderId="0" xfId="0" applyNumberFormat="1" applyFont="1"/>
    <xf numFmtId="1" fontId="4" fillId="0" borderId="0" xfId="0" applyNumberFormat="1" applyFont="1"/>
    <xf numFmtId="0" fontId="4" fillId="0" borderId="0" xfId="0" applyFont="1"/>
    <xf numFmtId="0" fontId="3" fillId="0" borderId="0" xfId="0" applyFont="1"/>
    <xf numFmtId="168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7" fontId="4" fillId="0" borderId="0" xfId="0" applyNumberFormat="1" applyFont="1" applyAlignment="1">
      <alignment horizontal="right"/>
    </xf>
    <xf numFmtId="1" fontId="0" fillId="0" borderId="0" xfId="0" applyNumberFormat="1"/>
    <xf numFmtId="14" fontId="4" fillId="0" borderId="0" xfId="0" applyNumberFormat="1" applyFont="1"/>
    <xf numFmtId="0" fontId="4" fillId="0" borderId="0" xfId="0" applyFont="1" applyAlignment="1">
      <alignment horizontal="center"/>
    </xf>
    <xf numFmtId="166" fontId="1" fillId="0" borderId="0" xfId="2" applyNumberFormat="1" applyFont="1" applyAlignment="1">
      <alignment horizontal="right"/>
    </xf>
    <xf numFmtId="166" fontId="1" fillId="0" borderId="0" xfId="2" applyNumberFormat="1" applyFont="1" applyAlignment="1">
      <alignment horizontal="right" vertical="center"/>
    </xf>
    <xf numFmtId="167" fontId="6" fillId="0" borderId="0" xfId="0" applyNumberFormat="1" applyFont="1"/>
    <xf numFmtId="166" fontId="6" fillId="0" borderId="0" xfId="2" applyNumberFormat="1" applyFont="1"/>
    <xf numFmtId="166" fontId="6" fillId="0" borderId="0" xfId="2" applyNumberFormat="1" applyFont="1" applyAlignment="1">
      <alignment horizontal="right"/>
    </xf>
    <xf numFmtId="166" fontId="6" fillId="0" borderId="0" xfId="2" applyNumberFormat="1" applyFont="1" applyAlignment="1">
      <alignment horizontal="right" vertical="center"/>
    </xf>
    <xf numFmtId="4" fontId="6" fillId="0" borderId="0" xfId="0" applyNumberFormat="1" applyFont="1"/>
    <xf numFmtId="0" fontId="7" fillId="0" borderId="0" xfId="0" applyFont="1" applyAlignment="1">
      <alignment horizontal="left"/>
    </xf>
    <xf numFmtId="4" fontId="7" fillId="0" borderId="0" xfId="0" applyNumberFormat="1" applyFont="1" applyAlignment="1">
      <alignment horizontal="center"/>
    </xf>
    <xf numFmtId="166" fontId="6" fillId="0" borderId="0" xfId="0" applyNumberFormat="1" applyFont="1"/>
    <xf numFmtId="1" fontId="6" fillId="0" borderId="0" xfId="0" applyNumberFormat="1" applyFont="1"/>
    <xf numFmtId="166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horizontal="left"/>
    </xf>
    <xf numFmtId="169" fontId="6" fillId="0" borderId="0" xfId="0" applyNumberFormat="1" applyFont="1"/>
  </cellXfs>
  <cellStyles count="7">
    <cellStyle name="Dziesiętny 2" xfId="1" xr:uid="{00000000-0005-0000-0000-000000000000}"/>
    <cellStyle name="Normal" xfId="0" builtinId="0"/>
    <cellStyle name="Normalny 2" xfId="2" xr:uid="{00000000-0005-0000-0000-000002000000}"/>
    <cellStyle name="Normalny 3" xfId="3" xr:uid="{00000000-0005-0000-0000-000003000000}"/>
    <cellStyle name="Walutowy 2" xfId="4" xr:uid="{00000000-0005-0000-0000-000004000000}"/>
    <cellStyle name="Walutowy 2 2" xfId="6" xr:uid="{98A544CA-A352-4EDE-8EB1-0E2AD8EC6090}"/>
    <cellStyle name="Walutowy 3" xfId="5" xr:uid="{E2D3BA2B-D59C-4C07-952E-8475A3D48F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5"/>
  <sheetViews>
    <sheetView tabSelected="1" zoomScale="120" zoomScaleNormal="120" workbookViewId="0">
      <pane ySplit="1" topLeftCell="A2" activePane="bottomLeft" state="frozenSplit"/>
      <selection pane="bottomLeft" activeCell="G13" sqref="G13"/>
    </sheetView>
  </sheetViews>
  <sheetFormatPr baseColWidth="10" defaultColWidth="8.83203125" defaultRowHeight="16"/>
  <cols>
    <col min="1" max="1" width="11.6640625" style="29" bestFit="1" customWidth="1"/>
    <col min="2" max="4" width="8.5" style="20" customWidth="1"/>
    <col min="5" max="6" width="8.6640625" style="28" customWidth="1"/>
    <col min="7" max="7" width="8.6640625" style="6" customWidth="1"/>
  </cols>
  <sheetData>
    <row r="1" spans="1:8">
      <c r="A1" s="21" t="s">
        <v>4</v>
      </c>
      <c r="B1" s="22" t="s">
        <v>0</v>
      </c>
      <c r="C1" s="22" t="s">
        <v>1</v>
      </c>
      <c r="D1" s="22" t="s">
        <v>2</v>
      </c>
      <c r="E1" s="22" t="s">
        <v>22</v>
      </c>
      <c r="F1" s="22"/>
      <c r="G1" s="3"/>
    </row>
    <row r="2" spans="1:8">
      <c r="A2" s="16">
        <v>35431</v>
      </c>
      <c r="B2" s="23">
        <v>22.3</v>
      </c>
      <c r="C2" s="23">
        <v>3.6</v>
      </c>
      <c r="D2" s="23">
        <v>112.9</v>
      </c>
      <c r="E2" s="24">
        <f>YEAR(A2)</f>
        <v>1997</v>
      </c>
      <c r="F2" s="24"/>
      <c r="G2" s="5"/>
      <c r="H2" s="11"/>
    </row>
    <row r="3" spans="1:8">
      <c r="A3" s="16">
        <v>35462</v>
      </c>
      <c r="B3" s="23">
        <v>26.3</v>
      </c>
      <c r="C3" s="23">
        <v>3.6</v>
      </c>
      <c r="D3" s="23">
        <v>111.9</v>
      </c>
      <c r="E3" s="24">
        <f t="shared" ref="E3:E66" si="0">YEAR(A3)</f>
        <v>1997</v>
      </c>
      <c r="F3" s="24"/>
      <c r="G3" s="5"/>
      <c r="H3" s="11"/>
    </row>
    <row r="4" spans="1:8">
      <c r="A4" s="16">
        <v>35490</v>
      </c>
      <c r="B4" s="23">
        <v>9.1</v>
      </c>
      <c r="C4" s="23">
        <v>1.9</v>
      </c>
      <c r="D4" s="23">
        <v>111.8</v>
      </c>
      <c r="E4" s="24">
        <f t="shared" si="0"/>
        <v>1997</v>
      </c>
      <c r="F4" s="24"/>
      <c r="G4" s="5"/>
      <c r="H4" s="11"/>
    </row>
    <row r="5" spans="1:8">
      <c r="A5" s="16">
        <v>35521</v>
      </c>
      <c r="B5" s="23">
        <v>13.2</v>
      </c>
      <c r="C5" s="23">
        <v>4.8</v>
      </c>
      <c r="D5" s="23">
        <v>112</v>
      </c>
      <c r="E5" s="24">
        <f t="shared" si="0"/>
        <v>1997</v>
      </c>
      <c r="F5" s="24"/>
      <c r="G5" s="5"/>
      <c r="H5" s="11"/>
    </row>
    <row r="6" spans="1:8">
      <c r="A6" s="16">
        <v>35551</v>
      </c>
      <c r="B6" s="23">
        <v>25</v>
      </c>
      <c r="C6" s="23">
        <v>8.1</v>
      </c>
      <c r="D6" s="23">
        <v>112.4</v>
      </c>
      <c r="E6" s="24">
        <f t="shared" si="0"/>
        <v>1997</v>
      </c>
      <c r="F6" s="24"/>
      <c r="G6" s="5"/>
      <c r="H6" s="11"/>
    </row>
    <row r="7" spans="1:8">
      <c r="A7" s="16">
        <v>35582</v>
      </c>
      <c r="B7" s="23">
        <v>27.9</v>
      </c>
      <c r="C7" s="23">
        <v>11.1</v>
      </c>
      <c r="D7" s="23">
        <v>112.2</v>
      </c>
      <c r="E7" s="24">
        <f t="shared" si="0"/>
        <v>1997</v>
      </c>
      <c r="F7" s="24"/>
      <c r="G7" s="5"/>
      <c r="H7" s="11"/>
    </row>
    <row r="8" spans="1:8">
      <c r="A8" s="16">
        <v>35612</v>
      </c>
      <c r="B8" s="23">
        <v>28.6</v>
      </c>
      <c r="C8" s="23">
        <v>12.9</v>
      </c>
      <c r="D8" s="23">
        <v>112</v>
      </c>
      <c r="E8" s="24">
        <f t="shared" si="0"/>
        <v>1997</v>
      </c>
      <c r="F8" s="24"/>
      <c r="G8" s="5"/>
      <c r="H8" s="11"/>
    </row>
    <row r="9" spans="1:8">
      <c r="A9" s="16">
        <v>35643</v>
      </c>
      <c r="B9" s="23">
        <v>28</v>
      </c>
      <c r="C9" s="23">
        <v>10.7</v>
      </c>
      <c r="D9" s="23">
        <v>112.5</v>
      </c>
      <c r="E9" s="24">
        <f t="shared" si="0"/>
        <v>1997</v>
      </c>
      <c r="F9" s="24"/>
      <c r="G9" s="5"/>
      <c r="H9" s="11"/>
    </row>
    <row r="10" spans="1:8">
      <c r="A10" s="16">
        <v>35674</v>
      </c>
      <c r="B10" s="23">
        <v>25.9</v>
      </c>
      <c r="C10" s="23">
        <v>8.9</v>
      </c>
      <c r="D10" s="23">
        <v>113</v>
      </c>
      <c r="E10" s="24">
        <f t="shared" si="0"/>
        <v>1997</v>
      </c>
      <c r="F10" s="24"/>
      <c r="G10" s="5"/>
      <c r="H10" s="11"/>
    </row>
    <row r="11" spans="1:8">
      <c r="A11" s="16">
        <v>35704</v>
      </c>
      <c r="B11" s="23">
        <v>24.2</v>
      </c>
      <c r="C11" s="23">
        <v>12</v>
      </c>
      <c r="D11" s="23">
        <v>112.1</v>
      </c>
      <c r="E11" s="24">
        <f t="shared" si="0"/>
        <v>1997</v>
      </c>
      <c r="F11" s="24"/>
      <c r="G11" s="5"/>
      <c r="H11" s="11"/>
    </row>
    <row r="12" spans="1:8">
      <c r="A12" s="16">
        <v>35735</v>
      </c>
      <c r="B12" s="23">
        <v>26.5</v>
      </c>
      <c r="C12" s="23">
        <v>12.7</v>
      </c>
      <c r="D12" s="23">
        <v>112.1</v>
      </c>
      <c r="E12" s="24">
        <f t="shared" si="0"/>
        <v>1997</v>
      </c>
      <c r="F12" s="24"/>
      <c r="G12" s="5"/>
      <c r="H12" s="11"/>
    </row>
    <row r="13" spans="1:8">
      <c r="A13" s="16">
        <v>35765</v>
      </c>
      <c r="B13" s="23">
        <v>25.8</v>
      </c>
      <c r="C13" s="23">
        <v>12.7</v>
      </c>
      <c r="D13" s="23">
        <v>111.5</v>
      </c>
      <c r="E13" s="24">
        <f t="shared" si="0"/>
        <v>1997</v>
      </c>
      <c r="F13" s="24"/>
      <c r="G13" s="5"/>
      <c r="H13" s="11"/>
    </row>
    <row r="14" spans="1:8">
      <c r="A14" s="16">
        <v>35796</v>
      </c>
      <c r="B14" s="23">
        <v>19.100000000000001</v>
      </c>
      <c r="C14" s="23">
        <v>4.5999999999999996</v>
      </c>
      <c r="D14" s="23">
        <v>109.2</v>
      </c>
      <c r="E14" s="24">
        <f t="shared" si="0"/>
        <v>1998</v>
      </c>
      <c r="F14" s="24"/>
      <c r="G14" s="5"/>
      <c r="H14" s="11"/>
    </row>
    <row r="15" spans="1:8">
      <c r="A15" s="16">
        <v>35827</v>
      </c>
      <c r="B15" s="23">
        <v>23.7</v>
      </c>
      <c r="C15" s="23">
        <v>8.6999999999999993</v>
      </c>
      <c r="D15" s="23">
        <v>109.1</v>
      </c>
      <c r="E15" s="24">
        <f t="shared" si="0"/>
        <v>1998</v>
      </c>
      <c r="F15" s="24"/>
      <c r="G15" s="5"/>
      <c r="H15" s="11"/>
    </row>
    <row r="16" spans="1:8">
      <c r="A16" s="16">
        <v>35855</v>
      </c>
      <c r="B16" s="23">
        <v>26.6</v>
      </c>
      <c r="C16" s="23">
        <v>10.4</v>
      </c>
      <c r="D16" s="23">
        <v>109.2</v>
      </c>
      <c r="E16" s="24">
        <f t="shared" si="0"/>
        <v>1998</v>
      </c>
      <c r="F16" s="24"/>
      <c r="G16" s="5"/>
      <c r="H16" s="11"/>
    </row>
    <row r="17" spans="1:8">
      <c r="A17" s="16">
        <v>35886</v>
      </c>
      <c r="B17" s="23">
        <v>21.3</v>
      </c>
      <c r="C17" s="23">
        <v>7.4</v>
      </c>
      <c r="D17" s="23">
        <v>108.4</v>
      </c>
      <c r="E17" s="24">
        <f t="shared" si="0"/>
        <v>1998</v>
      </c>
      <c r="F17" s="24"/>
      <c r="G17" s="5"/>
      <c r="H17" s="11"/>
    </row>
    <row r="18" spans="1:8">
      <c r="A18" s="16">
        <v>35916</v>
      </c>
      <c r="B18" s="23">
        <v>11.5</v>
      </c>
      <c r="C18" s="23">
        <v>-0.6</v>
      </c>
      <c r="D18" s="23">
        <v>108.2</v>
      </c>
      <c r="E18" s="24">
        <f t="shared" si="0"/>
        <v>1998</v>
      </c>
      <c r="F18" s="24"/>
      <c r="G18" s="5"/>
      <c r="H18" s="11"/>
    </row>
    <row r="19" spans="1:8">
      <c r="A19" s="16">
        <v>35947</v>
      </c>
      <c r="B19" s="23">
        <v>19.7</v>
      </c>
      <c r="C19" s="23">
        <v>2.4</v>
      </c>
      <c r="D19" s="23">
        <v>107.7</v>
      </c>
      <c r="E19" s="24">
        <f t="shared" si="0"/>
        <v>1998</v>
      </c>
      <c r="F19" s="24"/>
      <c r="G19" s="5"/>
      <c r="H19" s="11"/>
    </row>
    <row r="20" spans="1:8">
      <c r="A20" s="16">
        <v>35977</v>
      </c>
      <c r="B20" s="23">
        <v>27.8</v>
      </c>
      <c r="C20" s="23">
        <v>13.3</v>
      </c>
      <c r="D20" s="23">
        <v>107</v>
      </c>
      <c r="E20" s="24">
        <f t="shared" si="0"/>
        <v>1998</v>
      </c>
      <c r="F20" s="24"/>
      <c r="G20" s="5"/>
      <c r="H20" s="11"/>
    </row>
    <row r="21" spans="1:8">
      <c r="A21" s="16">
        <v>36008</v>
      </c>
      <c r="B21" s="23">
        <v>19.100000000000001</v>
      </c>
      <c r="C21" s="23">
        <v>3.8</v>
      </c>
      <c r="D21" s="23">
        <v>106.6</v>
      </c>
      <c r="E21" s="24">
        <f t="shared" si="0"/>
        <v>1998</v>
      </c>
      <c r="F21" s="24"/>
      <c r="G21" s="5"/>
      <c r="H21" s="11"/>
    </row>
    <row r="22" spans="1:8">
      <c r="A22" s="16">
        <v>36039</v>
      </c>
      <c r="B22" s="23">
        <v>16.3</v>
      </c>
      <c r="C22" s="23">
        <v>-0.8</v>
      </c>
      <c r="D22" s="23">
        <v>106.4</v>
      </c>
      <c r="E22" s="24">
        <f t="shared" si="0"/>
        <v>1998</v>
      </c>
      <c r="F22" s="24"/>
      <c r="G22" s="5"/>
      <c r="H22" s="11"/>
    </row>
    <row r="23" spans="1:8">
      <c r="A23" s="16">
        <v>36069</v>
      </c>
      <c r="B23" s="23">
        <v>6.3</v>
      </c>
      <c r="C23" s="23">
        <v>-4.5</v>
      </c>
      <c r="D23" s="23">
        <v>105.8</v>
      </c>
      <c r="E23" s="24">
        <f t="shared" si="0"/>
        <v>1998</v>
      </c>
      <c r="F23" s="24"/>
      <c r="G23" s="5"/>
      <c r="H23" s="11"/>
    </row>
    <row r="24" spans="1:8">
      <c r="A24" s="16">
        <v>36100</v>
      </c>
      <c r="B24" s="23">
        <v>12.8</v>
      </c>
      <c r="C24" s="23">
        <v>-4.5999999999999996</v>
      </c>
      <c r="D24" s="23">
        <v>105.1</v>
      </c>
      <c r="E24" s="24">
        <f t="shared" si="0"/>
        <v>1998</v>
      </c>
      <c r="F24" s="24"/>
      <c r="G24" s="5"/>
      <c r="H24" s="11"/>
    </row>
    <row r="25" spans="1:8">
      <c r="A25" s="16">
        <v>36130</v>
      </c>
      <c r="B25" s="23">
        <v>12.2</v>
      </c>
      <c r="C25" s="23">
        <v>-5</v>
      </c>
      <c r="D25" s="23">
        <v>104.8</v>
      </c>
      <c r="E25" s="24">
        <f t="shared" si="0"/>
        <v>1998</v>
      </c>
      <c r="F25" s="24"/>
      <c r="G25" s="5"/>
      <c r="H25" s="11"/>
    </row>
    <row r="26" spans="1:8">
      <c r="A26" s="16">
        <v>36161</v>
      </c>
      <c r="B26" s="23">
        <v>18.100000000000001</v>
      </c>
      <c r="C26" s="23">
        <v>-1.8</v>
      </c>
      <c r="D26" s="23">
        <v>103.9</v>
      </c>
      <c r="E26" s="24">
        <f t="shared" si="0"/>
        <v>1999</v>
      </c>
      <c r="F26" s="24"/>
      <c r="G26" s="5"/>
      <c r="H26" s="11"/>
    </row>
    <row r="27" spans="1:8">
      <c r="A27" s="16">
        <v>36192</v>
      </c>
      <c r="B27" s="23">
        <v>18.399999999999999</v>
      </c>
      <c r="C27" s="23">
        <v>0.3</v>
      </c>
      <c r="D27" s="23">
        <v>103.7</v>
      </c>
      <c r="E27" s="24">
        <f t="shared" si="0"/>
        <v>1999</v>
      </c>
      <c r="F27" s="24"/>
      <c r="G27" s="5"/>
      <c r="H27" s="11"/>
    </row>
    <row r="28" spans="1:8">
      <c r="A28" s="16">
        <v>36220</v>
      </c>
      <c r="B28" s="23">
        <v>21</v>
      </c>
      <c r="C28" s="23">
        <v>1</v>
      </c>
      <c r="D28" s="23">
        <v>104.7</v>
      </c>
      <c r="E28" s="24">
        <f t="shared" si="0"/>
        <v>1999</v>
      </c>
      <c r="F28" s="24"/>
      <c r="G28" s="5"/>
      <c r="H28" s="11"/>
    </row>
    <row r="29" spans="1:8">
      <c r="A29" s="16">
        <v>36251</v>
      </c>
      <c r="B29" s="23">
        <v>20.6</v>
      </c>
      <c r="C29" s="23">
        <v>0.7</v>
      </c>
      <c r="D29" s="23">
        <v>105</v>
      </c>
      <c r="E29" s="24">
        <f t="shared" si="0"/>
        <v>1999</v>
      </c>
      <c r="F29" s="24"/>
      <c r="G29" s="5"/>
      <c r="H29" s="11"/>
    </row>
    <row r="30" spans="1:8">
      <c r="A30" s="16">
        <v>36281</v>
      </c>
      <c r="B30" s="23">
        <v>18.100000000000001</v>
      </c>
      <c r="C30" s="23">
        <v>-1.7</v>
      </c>
      <c r="D30" s="23">
        <v>105.2</v>
      </c>
      <c r="E30" s="24">
        <f t="shared" si="0"/>
        <v>1999</v>
      </c>
      <c r="F30" s="24"/>
      <c r="G30" s="5"/>
      <c r="H30" s="11"/>
    </row>
    <row r="31" spans="1:8">
      <c r="A31" s="16">
        <v>36312</v>
      </c>
      <c r="B31" s="23">
        <v>16.5</v>
      </c>
      <c r="C31" s="23">
        <v>-1.5</v>
      </c>
      <c r="D31" s="23">
        <v>105.2</v>
      </c>
      <c r="E31" s="24">
        <f t="shared" si="0"/>
        <v>1999</v>
      </c>
      <c r="F31" s="24"/>
      <c r="G31" s="5"/>
      <c r="H31" s="11"/>
    </row>
    <row r="32" spans="1:8">
      <c r="A32" s="16">
        <v>36342</v>
      </c>
      <c r="B32" s="23">
        <v>14.5</v>
      </c>
      <c r="C32" s="23">
        <v>-3.2</v>
      </c>
      <c r="D32" s="23">
        <v>105.5</v>
      </c>
      <c r="E32" s="24">
        <f t="shared" si="0"/>
        <v>1999</v>
      </c>
      <c r="F32" s="24"/>
      <c r="G32" s="5"/>
      <c r="H32" s="11"/>
    </row>
    <row r="33" spans="1:8">
      <c r="A33" s="16">
        <v>36373</v>
      </c>
      <c r="B33" s="23">
        <v>16.899999999999999</v>
      </c>
      <c r="C33" s="23">
        <v>-2.2999999999999998</v>
      </c>
      <c r="D33" s="23">
        <v>105.9</v>
      </c>
      <c r="E33" s="24">
        <f t="shared" si="0"/>
        <v>1999</v>
      </c>
      <c r="F33" s="24"/>
      <c r="G33" s="5"/>
      <c r="H33" s="11"/>
    </row>
    <row r="34" spans="1:8">
      <c r="A34" s="16">
        <v>36404</v>
      </c>
      <c r="B34" s="23">
        <v>18.3</v>
      </c>
      <c r="C34" s="23">
        <v>0.5</v>
      </c>
      <c r="D34" s="23">
        <v>106.2</v>
      </c>
      <c r="E34" s="24">
        <f t="shared" si="0"/>
        <v>1999</v>
      </c>
      <c r="F34" s="24"/>
      <c r="G34" s="5"/>
      <c r="H34" s="11"/>
    </row>
    <row r="35" spans="1:8">
      <c r="A35" s="16">
        <v>36434</v>
      </c>
      <c r="B35" s="23">
        <v>20.100000000000001</v>
      </c>
      <c r="C35" s="23">
        <v>2</v>
      </c>
      <c r="D35" s="23">
        <v>106.8</v>
      </c>
      <c r="E35" s="24">
        <f t="shared" si="0"/>
        <v>1999</v>
      </c>
      <c r="F35" s="24"/>
      <c r="G35" s="5"/>
      <c r="H35" s="11"/>
    </row>
    <row r="36" spans="1:8">
      <c r="A36" s="16">
        <v>36465</v>
      </c>
      <c r="B36" s="23">
        <v>18.8</v>
      </c>
      <c r="C36" s="23">
        <v>-3.5</v>
      </c>
      <c r="D36" s="23">
        <v>107.5</v>
      </c>
      <c r="E36" s="24">
        <f t="shared" si="0"/>
        <v>1999</v>
      </c>
      <c r="F36" s="24"/>
      <c r="G36" s="5"/>
      <c r="H36" s="11"/>
    </row>
    <row r="37" spans="1:8">
      <c r="A37" s="16">
        <v>36495</v>
      </c>
      <c r="B37" s="23">
        <v>22.9</v>
      </c>
      <c r="C37" s="23">
        <v>3.5</v>
      </c>
      <c r="D37" s="23">
        <v>108.1</v>
      </c>
      <c r="E37" s="24">
        <f t="shared" si="0"/>
        <v>1999</v>
      </c>
      <c r="F37" s="24"/>
      <c r="G37" s="5"/>
      <c r="H37" s="11"/>
    </row>
    <row r="38" spans="1:8">
      <c r="A38" s="16">
        <v>36526</v>
      </c>
      <c r="B38" s="23">
        <v>19.899999999999999</v>
      </c>
      <c r="C38" s="23">
        <v>5.5</v>
      </c>
      <c r="D38" s="23">
        <v>108.2</v>
      </c>
      <c r="E38" s="24">
        <f t="shared" si="0"/>
        <v>2000</v>
      </c>
      <c r="F38" s="24"/>
      <c r="G38" s="5"/>
      <c r="H38" s="11"/>
    </row>
    <row r="39" spans="1:8">
      <c r="A39" s="16">
        <v>36557</v>
      </c>
      <c r="B39" s="23">
        <v>21.6</v>
      </c>
      <c r="C39" s="23">
        <v>7.4</v>
      </c>
      <c r="D39" s="23">
        <v>108.1</v>
      </c>
      <c r="E39" s="24">
        <f t="shared" si="0"/>
        <v>2000</v>
      </c>
      <c r="F39" s="24"/>
      <c r="G39" s="5"/>
      <c r="H39" s="11"/>
    </row>
    <row r="40" spans="1:8">
      <c r="A40" s="16">
        <v>36586</v>
      </c>
      <c r="B40" s="23">
        <v>21.4</v>
      </c>
      <c r="C40" s="23">
        <v>9.1</v>
      </c>
      <c r="D40" s="23">
        <v>107.3</v>
      </c>
      <c r="E40" s="24">
        <f t="shared" si="0"/>
        <v>2000</v>
      </c>
      <c r="F40" s="24"/>
      <c r="G40" s="5"/>
      <c r="H40" s="11"/>
    </row>
    <row r="41" spans="1:8">
      <c r="A41" s="16">
        <v>36617</v>
      </c>
      <c r="B41" s="23">
        <v>18.899999999999999</v>
      </c>
      <c r="C41" s="23">
        <v>5.4</v>
      </c>
      <c r="D41" s="23">
        <v>107.4</v>
      </c>
      <c r="E41" s="24">
        <f t="shared" si="0"/>
        <v>2000</v>
      </c>
      <c r="F41" s="24"/>
      <c r="G41" s="5"/>
      <c r="H41" s="11"/>
    </row>
    <row r="42" spans="1:8">
      <c r="A42" s="16">
        <v>36647</v>
      </c>
      <c r="B42" s="23">
        <v>21</v>
      </c>
      <c r="C42" s="23">
        <v>7.1</v>
      </c>
      <c r="D42" s="23">
        <v>107.9</v>
      </c>
      <c r="E42" s="24">
        <f t="shared" si="0"/>
        <v>2000</v>
      </c>
      <c r="F42" s="24"/>
      <c r="G42" s="5"/>
      <c r="H42" s="11"/>
    </row>
    <row r="43" spans="1:8">
      <c r="A43" s="16">
        <v>36678</v>
      </c>
      <c r="B43" s="23">
        <v>16.100000000000001</v>
      </c>
      <c r="C43" s="23">
        <v>5.9</v>
      </c>
      <c r="D43" s="23">
        <v>108.9</v>
      </c>
      <c r="E43" s="24">
        <f t="shared" si="0"/>
        <v>2000</v>
      </c>
      <c r="F43" s="24"/>
      <c r="G43" s="5"/>
      <c r="H43" s="11"/>
    </row>
    <row r="44" spans="1:8">
      <c r="A44" s="16">
        <v>36708</v>
      </c>
      <c r="B44" s="23">
        <v>16.399999999999999</v>
      </c>
      <c r="C44" s="23">
        <v>6</v>
      </c>
      <c r="D44" s="23">
        <v>109</v>
      </c>
      <c r="E44" s="24">
        <f t="shared" si="0"/>
        <v>2000</v>
      </c>
      <c r="F44" s="24"/>
      <c r="G44" s="5"/>
      <c r="H44" s="11"/>
    </row>
    <row r="45" spans="1:8">
      <c r="A45" s="16">
        <v>36739</v>
      </c>
      <c r="B45" s="23">
        <v>17.100000000000001</v>
      </c>
      <c r="C45" s="23">
        <v>5.3</v>
      </c>
      <c r="D45" s="23">
        <v>108.4</v>
      </c>
      <c r="E45" s="24">
        <f t="shared" si="0"/>
        <v>2000</v>
      </c>
      <c r="F45" s="24"/>
      <c r="G45" s="5"/>
      <c r="H45" s="11"/>
    </row>
    <row r="46" spans="1:8">
      <c r="A46" s="16">
        <v>36770</v>
      </c>
      <c r="B46" s="23">
        <v>20.399999999999999</v>
      </c>
      <c r="C46" s="23">
        <v>7</v>
      </c>
      <c r="D46" s="23">
        <v>108.3</v>
      </c>
      <c r="E46" s="24">
        <f t="shared" si="0"/>
        <v>2000</v>
      </c>
      <c r="F46" s="24"/>
      <c r="G46" s="5"/>
      <c r="H46" s="11"/>
    </row>
    <row r="47" spans="1:8">
      <c r="A47" s="16">
        <v>36800</v>
      </c>
      <c r="B47" s="23">
        <v>17.7</v>
      </c>
      <c r="C47" s="23">
        <v>5.5</v>
      </c>
      <c r="D47" s="23">
        <v>108</v>
      </c>
      <c r="E47" s="24">
        <f t="shared" si="0"/>
        <v>2000</v>
      </c>
      <c r="F47" s="24"/>
      <c r="G47" s="5"/>
      <c r="H47" s="11"/>
    </row>
    <row r="48" spans="1:8">
      <c r="A48" s="16">
        <v>36831</v>
      </c>
      <c r="B48" s="23">
        <v>17.600000000000001</v>
      </c>
      <c r="C48" s="23">
        <v>3.2</v>
      </c>
      <c r="D48" s="23">
        <v>107.2</v>
      </c>
      <c r="E48" s="24">
        <f t="shared" si="0"/>
        <v>2000</v>
      </c>
      <c r="F48" s="24"/>
      <c r="G48" s="5"/>
      <c r="H48" s="11"/>
    </row>
    <row r="49" spans="1:8">
      <c r="A49" s="16">
        <v>36861</v>
      </c>
      <c r="B49" s="23">
        <v>17.8</v>
      </c>
      <c r="C49" s="23">
        <v>3.6</v>
      </c>
      <c r="D49" s="23">
        <v>105.6</v>
      </c>
      <c r="E49" s="24">
        <f t="shared" si="0"/>
        <v>2000</v>
      </c>
      <c r="F49" s="24"/>
      <c r="G49" s="5"/>
      <c r="H49" s="11"/>
    </row>
    <row r="50" spans="1:8">
      <c r="A50" s="16">
        <v>36892</v>
      </c>
      <c r="B50" s="23">
        <v>9.6999999999999993</v>
      </c>
      <c r="C50" s="23">
        <v>-3</v>
      </c>
      <c r="D50" s="23">
        <v>104.7</v>
      </c>
      <c r="E50" s="24">
        <f t="shared" si="0"/>
        <v>2001</v>
      </c>
      <c r="F50" s="24"/>
      <c r="G50" s="5"/>
      <c r="H50" s="11"/>
    </row>
    <row r="51" spans="1:8">
      <c r="A51" s="16">
        <v>36923</v>
      </c>
      <c r="B51" s="23">
        <v>7.3</v>
      </c>
      <c r="C51" s="23">
        <v>-4.8</v>
      </c>
      <c r="D51" s="23">
        <v>104.1</v>
      </c>
      <c r="E51" s="24">
        <f t="shared" si="0"/>
        <v>2001</v>
      </c>
      <c r="F51" s="24"/>
      <c r="G51" s="5"/>
      <c r="H51" s="11"/>
    </row>
    <row r="52" spans="1:8">
      <c r="A52" s="16">
        <v>36951</v>
      </c>
      <c r="B52" s="23">
        <v>10.199999999999999</v>
      </c>
      <c r="C52" s="23">
        <v>-4.7</v>
      </c>
      <c r="D52" s="23">
        <v>103.8</v>
      </c>
      <c r="E52" s="24">
        <f t="shared" si="0"/>
        <v>2001</v>
      </c>
      <c r="F52" s="24"/>
      <c r="G52" s="5"/>
      <c r="H52" s="11"/>
    </row>
    <row r="53" spans="1:8">
      <c r="A53" s="16">
        <v>36982</v>
      </c>
      <c r="B53" s="23">
        <v>6.8</v>
      </c>
      <c r="C53" s="23">
        <v>-8</v>
      </c>
      <c r="D53" s="23">
        <v>103.4</v>
      </c>
      <c r="E53" s="24">
        <f t="shared" si="0"/>
        <v>2001</v>
      </c>
      <c r="F53" s="24"/>
      <c r="G53" s="5"/>
      <c r="H53" s="11"/>
    </row>
    <row r="54" spans="1:8">
      <c r="A54" s="16">
        <v>37012</v>
      </c>
      <c r="B54" s="23">
        <v>3.3</v>
      </c>
      <c r="C54" s="23">
        <v>-9.9</v>
      </c>
      <c r="D54" s="23">
        <v>102.3</v>
      </c>
      <c r="E54" s="24">
        <f t="shared" si="0"/>
        <v>2001</v>
      </c>
      <c r="F54" s="24"/>
      <c r="G54" s="5"/>
      <c r="H54" s="11"/>
    </row>
    <row r="55" spans="1:8">
      <c r="A55" s="16">
        <v>37043</v>
      </c>
      <c r="B55" s="23">
        <v>5.2</v>
      </c>
      <c r="C55" s="23">
        <v>-8.9</v>
      </c>
      <c r="D55" s="23">
        <v>100.9</v>
      </c>
      <c r="E55" s="24">
        <f t="shared" si="0"/>
        <v>2001</v>
      </c>
      <c r="F55" s="24"/>
      <c r="G55" s="5"/>
      <c r="H55" s="11"/>
    </row>
    <row r="56" spans="1:8">
      <c r="A56" s="16">
        <v>37073</v>
      </c>
      <c r="B56" s="23">
        <v>4.8</v>
      </c>
      <c r="C56" s="23">
        <v>-10.4</v>
      </c>
      <c r="D56" s="23">
        <v>100.6</v>
      </c>
      <c r="E56" s="24">
        <f t="shared" si="0"/>
        <v>2001</v>
      </c>
      <c r="F56" s="24"/>
      <c r="G56" s="5"/>
      <c r="H56" s="11"/>
    </row>
    <row r="57" spans="1:8">
      <c r="A57" s="16">
        <v>37104</v>
      </c>
      <c r="B57" s="23">
        <v>1.8</v>
      </c>
      <c r="C57" s="23">
        <v>-12.7</v>
      </c>
      <c r="D57" s="23">
        <v>101</v>
      </c>
      <c r="E57" s="24">
        <f t="shared" si="0"/>
        <v>2001</v>
      </c>
      <c r="F57" s="24"/>
      <c r="G57" s="5"/>
      <c r="H57" s="11"/>
    </row>
    <row r="58" spans="1:8">
      <c r="A58" s="16">
        <v>37135</v>
      </c>
      <c r="B58" s="23">
        <v>-2</v>
      </c>
      <c r="C58" s="23">
        <v>-14.7</v>
      </c>
      <c r="D58" s="23">
        <v>100.7</v>
      </c>
      <c r="E58" s="24">
        <f t="shared" si="0"/>
        <v>2001</v>
      </c>
      <c r="F58" s="24"/>
      <c r="G58" s="5"/>
      <c r="H58" s="11"/>
    </row>
    <row r="59" spans="1:8">
      <c r="A59" s="16">
        <v>37165</v>
      </c>
      <c r="B59" s="23">
        <v>2.7</v>
      </c>
      <c r="C59" s="23">
        <v>-12.7</v>
      </c>
      <c r="D59" s="23">
        <v>99.5</v>
      </c>
      <c r="E59" s="24">
        <f t="shared" si="0"/>
        <v>2001</v>
      </c>
      <c r="F59" s="24"/>
      <c r="G59" s="5"/>
      <c r="H59" s="11"/>
    </row>
    <row r="60" spans="1:8">
      <c r="A60" s="16">
        <v>37196</v>
      </c>
      <c r="B60" s="23">
        <v>2.7</v>
      </c>
      <c r="C60" s="23">
        <v>-13.4</v>
      </c>
      <c r="D60" s="23">
        <v>99</v>
      </c>
      <c r="E60" s="24">
        <f t="shared" si="0"/>
        <v>2001</v>
      </c>
      <c r="F60" s="24"/>
      <c r="G60" s="5"/>
      <c r="H60" s="11"/>
    </row>
    <row r="61" spans="1:8">
      <c r="A61" s="16">
        <v>37226</v>
      </c>
      <c r="B61" s="23">
        <v>-0.1</v>
      </c>
      <c r="C61" s="23">
        <v>-13.7</v>
      </c>
      <c r="D61" s="23">
        <v>99.6</v>
      </c>
      <c r="E61" s="24">
        <f t="shared" si="0"/>
        <v>2001</v>
      </c>
      <c r="F61" s="24"/>
      <c r="G61" s="5"/>
      <c r="H61" s="11"/>
    </row>
    <row r="62" spans="1:8">
      <c r="A62" s="16">
        <v>37257</v>
      </c>
      <c r="B62" s="23">
        <v>-5.0999999999999996</v>
      </c>
      <c r="C62" s="23">
        <v>-15.3</v>
      </c>
      <c r="D62" s="23">
        <v>100</v>
      </c>
      <c r="E62" s="24">
        <f t="shared" si="0"/>
        <v>2002</v>
      </c>
      <c r="F62" s="24"/>
      <c r="G62" s="5"/>
      <c r="H62" s="11"/>
    </row>
    <row r="63" spans="1:8">
      <c r="A63" s="16">
        <v>37288</v>
      </c>
      <c r="B63" s="23">
        <v>-7.7</v>
      </c>
      <c r="C63" s="23">
        <v>-14.4</v>
      </c>
      <c r="D63" s="23">
        <v>100.2</v>
      </c>
      <c r="E63" s="24">
        <f t="shared" si="0"/>
        <v>2002</v>
      </c>
      <c r="F63" s="24"/>
      <c r="G63" s="5"/>
      <c r="H63" s="11"/>
    </row>
    <row r="64" spans="1:8">
      <c r="A64" s="16">
        <v>37316</v>
      </c>
      <c r="B64" s="23">
        <v>-3.3</v>
      </c>
      <c r="C64" s="23">
        <v>-12</v>
      </c>
      <c r="D64" s="23">
        <v>100.3</v>
      </c>
      <c r="E64" s="24">
        <f t="shared" si="0"/>
        <v>2002</v>
      </c>
      <c r="F64" s="24"/>
      <c r="G64" s="5"/>
      <c r="H64" s="11"/>
    </row>
    <row r="65" spans="1:8">
      <c r="A65" s="16">
        <v>37347</v>
      </c>
      <c r="B65" s="23">
        <v>5.3</v>
      </c>
      <c r="C65" s="23">
        <v>-9.1999999999999993</v>
      </c>
      <c r="D65" s="23">
        <v>100.4</v>
      </c>
      <c r="E65" s="24">
        <f t="shared" si="0"/>
        <v>2002</v>
      </c>
      <c r="F65" s="24"/>
      <c r="G65" s="5"/>
      <c r="H65" s="11"/>
    </row>
    <row r="66" spans="1:8">
      <c r="A66" s="16">
        <v>37377</v>
      </c>
      <c r="B66" s="23">
        <v>4.8</v>
      </c>
      <c r="C66" s="23">
        <v>-6.6</v>
      </c>
      <c r="D66" s="23">
        <v>100.5</v>
      </c>
      <c r="E66" s="24">
        <f t="shared" si="0"/>
        <v>2002</v>
      </c>
      <c r="F66" s="24"/>
      <c r="G66" s="5"/>
      <c r="H66" s="11"/>
    </row>
    <row r="67" spans="1:8">
      <c r="A67" s="16">
        <v>37408</v>
      </c>
      <c r="B67" s="23">
        <v>8.9</v>
      </c>
      <c r="C67" s="23">
        <v>-6</v>
      </c>
      <c r="D67" s="23">
        <v>101.2</v>
      </c>
      <c r="E67" s="24">
        <f t="shared" ref="E67:E130" si="1">YEAR(A67)</f>
        <v>2002</v>
      </c>
      <c r="F67" s="24"/>
      <c r="G67" s="5"/>
      <c r="H67" s="11"/>
    </row>
    <row r="68" spans="1:8">
      <c r="A68" s="16">
        <v>37438</v>
      </c>
      <c r="B68" s="23">
        <v>7.9</v>
      </c>
      <c r="C68" s="23">
        <v>-7.3</v>
      </c>
      <c r="D68" s="23">
        <v>101.7</v>
      </c>
      <c r="E68" s="24">
        <f t="shared" si="1"/>
        <v>2002</v>
      </c>
      <c r="F68" s="24"/>
      <c r="G68" s="5"/>
      <c r="H68" s="11"/>
    </row>
    <row r="69" spans="1:8">
      <c r="A69" s="16">
        <v>37469</v>
      </c>
      <c r="B69" s="23">
        <v>8.1999999999999993</v>
      </c>
      <c r="C69" s="23">
        <v>-5.5</v>
      </c>
      <c r="D69" s="23">
        <v>101.3</v>
      </c>
      <c r="E69" s="24">
        <f t="shared" si="1"/>
        <v>2002</v>
      </c>
      <c r="F69" s="24"/>
      <c r="G69" s="5"/>
      <c r="H69" s="11"/>
    </row>
    <row r="70" spans="1:8">
      <c r="A70" s="16">
        <v>37500</v>
      </c>
      <c r="B70" s="23">
        <v>12.2</v>
      </c>
      <c r="C70" s="23">
        <v>-2.9</v>
      </c>
      <c r="D70" s="23">
        <v>101.1</v>
      </c>
      <c r="E70" s="24">
        <f t="shared" si="1"/>
        <v>2002</v>
      </c>
      <c r="F70" s="24"/>
      <c r="G70" s="5"/>
      <c r="H70" s="11"/>
    </row>
    <row r="71" spans="1:8">
      <c r="A71" s="16">
        <v>37530</v>
      </c>
      <c r="B71" s="23">
        <v>13.5</v>
      </c>
      <c r="C71" s="23">
        <v>-0.8</v>
      </c>
      <c r="D71" s="23">
        <v>101.7</v>
      </c>
      <c r="E71" s="24">
        <f t="shared" si="1"/>
        <v>2002</v>
      </c>
      <c r="F71" s="24"/>
      <c r="G71" s="5"/>
      <c r="H71" s="11"/>
    </row>
    <row r="72" spans="1:8">
      <c r="A72" s="16">
        <v>37561</v>
      </c>
      <c r="B72" s="23">
        <v>19</v>
      </c>
      <c r="C72" s="23">
        <v>1.7</v>
      </c>
      <c r="D72" s="23">
        <v>101.7</v>
      </c>
      <c r="E72" s="24">
        <f t="shared" si="1"/>
        <v>2002</v>
      </c>
      <c r="F72" s="24"/>
      <c r="G72" s="5"/>
      <c r="H72" s="11"/>
    </row>
    <row r="73" spans="1:8">
      <c r="A73" s="16">
        <v>37591</v>
      </c>
      <c r="B73" s="23">
        <v>12.7</v>
      </c>
      <c r="C73" s="23">
        <v>-2.2000000000000002</v>
      </c>
      <c r="D73" s="23">
        <v>102.2</v>
      </c>
      <c r="E73" s="24">
        <f t="shared" si="1"/>
        <v>2002</v>
      </c>
      <c r="F73" s="24"/>
      <c r="G73" s="5"/>
      <c r="H73" s="11"/>
    </row>
    <row r="74" spans="1:8">
      <c r="A74" s="16">
        <v>37622</v>
      </c>
      <c r="B74" s="23">
        <v>18.600000000000001</v>
      </c>
      <c r="C74" s="23">
        <v>1.3</v>
      </c>
      <c r="D74" s="23">
        <v>102.5</v>
      </c>
      <c r="E74" s="24">
        <f t="shared" si="1"/>
        <v>2003</v>
      </c>
      <c r="F74" s="24"/>
      <c r="G74" s="5"/>
      <c r="H74" s="11"/>
    </row>
    <row r="75" spans="1:8">
      <c r="A75" s="16">
        <v>37653</v>
      </c>
      <c r="B75" s="23">
        <v>16.2</v>
      </c>
      <c r="C75" s="23">
        <v>0.5</v>
      </c>
      <c r="D75" s="23">
        <v>102.9</v>
      </c>
      <c r="E75" s="24">
        <f t="shared" si="1"/>
        <v>2003</v>
      </c>
      <c r="F75" s="24"/>
      <c r="G75" s="5"/>
      <c r="H75" s="11"/>
    </row>
    <row r="76" spans="1:8">
      <c r="A76" s="16">
        <v>37681</v>
      </c>
      <c r="B76" s="23">
        <v>15</v>
      </c>
      <c r="C76" s="23">
        <v>2.6</v>
      </c>
      <c r="D76" s="23">
        <v>103.6</v>
      </c>
      <c r="E76" s="24">
        <f t="shared" si="1"/>
        <v>2003</v>
      </c>
      <c r="F76" s="24"/>
      <c r="G76" s="5"/>
      <c r="H76" s="11"/>
    </row>
    <row r="77" spans="1:8">
      <c r="A77" s="16">
        <v>37712</v>
      </c>
      <c r="B77" s="23">
        <v>15.6</v>
      </c>
      <c r="C77" s="23">
        <v>0.4</v>
      </c>
      <c r="D77" s="23">
        <v>102.7</v>
      </c>
      <c r="E77" s="24">
        <f t="shared" si="1"/>
        <v>2003</v>
      </c>
      <c r="F77" s="24"/>
      <c r="G77" s="5"/>
      <c r="H77" s="11"/>
    </row>
    <row r="78" spans="1:8">
      <c r="A78" s="16">
        <v>37742</v>
      </c>
      <c r="B78" s="23">
        <v>14.1</v>
      </c>
      <c r="C78" s="23">
        <v>3.7</v>
      </c>
      <c r="D78" s="23">
        <v>102</v>
      </c>
      <c r="E78" s="24">
        <f t="shared" si="1"/>
        <v>2003</v>
      </c>
      <c r="F78" s="24"/>
      <c r="G78" s="5"/>
      <c r="H78" s="11"/>
    </row>
    <row r="79" spans="1:8">
      <c r="A79" s="16">
        <v>37773</v>
      </c>
      <c r="B79" s="23">
        <v>15.1</v>
      </c>
      <c r="C79" s="23">
        <v>3.4</v>
      </c>
      <c r="D79" s="23">
        <v>102</v>
      </c>
      <c r="E79" s="24">
        <f t="shared" si="1"/>
        <v>2003</v>
      </c>
      <c r="F79" s="24"/>
      <c r="G79" s="5"/>
      <c r="H79" s="11"/>
    </row>
    <row r="80" spans="1:8">
      <c r="A80" s="16">
        <v>37803</v>
      </c>
      <c r="B80" s="23">
        <v>17.399999999999999</v>
      </c>
      <c r="C80" s="23">
        <v>4.9000000000000004</v>
      </c>
      <c r="D80" s="23">
        <v>101.9</v>
      </c>
      <c r="E80" s="24">
        <f t="shared" si="1"/>
        <v>2003</v>
      </c>
      <c r="F80" s="24"/>
      <c r="G80" s="5"/>
      <c r="H80" s="11"/>
    </row>
    <row r="81" spans="1:8">
      <c r="A81" s="16">
        <v>37834</v>
      </c>
      <c r="B81" s="23">
        <v>20.399999999999999</v>
      </c>
      <c r="C81" s="23">
        <v>7.3</v>
      </c>
      <c r="D81" s="23">
        <v>101.8</v>
      </c>
      <c r="E81" s="24">
        <f t="shared" si="1"/>
        <v>2003</v>
      </c>
      <c r="F81" s="24"/>
      <c r="G81" s="5"/>
      <c r="H81" s="11"/>
    </row>
    <row r="82" spans="1:8">
      <c r="A82" s="16">
        <v>37865</v>
      </c>
      <c r="B82" s="23">
        <v>16.899999999999999</v>
      </c>
      <c r="C82" s="23">
        <v>5.9</v>
      </c>
      <c r="D82" s="23">
        <v>102.1</v>
      </c>
      <c r="E82" s="24">
        <f t="shared" si="1"/>
        <v>2003</v>
      </c>
      <c r="F82" s="24"/>
      <c r="G82" s="5"/>
      <c r="H82" s="11"/>
    </row>
    <row r="83" spans="1:8">
      <c r="A83" s="16">
        <v>37895</v>
      </c>
      <c r="B83" s="23">
        <v>17.8</v>
      </c>
      <c r="C83" s="23">
        <v>6.4</v>
      </c>
      <c r="D83" s="23">
        <v>102.7</v>
      </c>
      <c r="E83" s="24">
        <f t="shared" si="1"/>
        <v>2003</v>
      </c>
      <c r="F83" s="24"/>
      <c r="G83" s="5"/>
      <c r="H83" s="11"/>
    </row>
    <row r="84" spans="1:8">
      <c r="A84" s="16">
        <v>37926</v>
      </c>
      <c r="B84" s="23">
        <v>20.5</v>
      </c>
      <c r="C84" s="23">
        <v>9.5</v>
      </c>
      <c r="D84" s="23">
        <v>103.7</v>
      </c>
      <c r="E84" s="24">
        <f t="shared" si="1"/>
        <v>2003</v>
      </c>
      <c r="F84" s="24"/>
      <c r="G84" s="5"/>
      <c r="H84" s="11"/>
    </row>
    <row r="85" spans="1:8">
      <c r="A85" s="16">
        <v>37956</v>
      </c>
      <c r="B85" s="23">
        <v>23.9</v>
      </c>
      <c r="C85" s="23">
        <v>13.6</v>
      </c>
      <c r="D85" s="23">
        <v>103.7</v>
      </c>
      <c r="E85" s="24">
        <f t="shared" si="1"/>
        <v>2003</v>
      </c>
      <c r="F85" s="24"/>
      <c r="G85" s="5"/>
      <c r="H85" s="11"/>
    </row>
    <row r="86" spans="1:8">
      <c r="A86" s="16">
        <v>37987</v>
      </c>
      <c r="B86" s="23">
        <v>19.100000000000001</v>
      </c>
      <c r="C86" s="23">
        <v>13.4</v>
      </c>
      <c r="D86" s="23">
        <v>104.1</v>
      </c>
      <c r="E86" s="24">
        <f t="shared" si="1"/>
        <v>2004</v>
      </c>
      <c r="F86" s="24"/>
      <c r="G86" s="5"/>
      <c r="H86" s="11"/>
    </row>
    <row r="87" spans="1:8">
      <c r="A87" s="16">
        <v>38018</v>
      </c>
      <c r="B87" s="23">
        <v>20.2</v>
      </c>
      <c r="C87" s="23">
        <v>11</v>
      </c>
      <c r="D87" s="23">
        <v>104.2</v>
      </c>
      <c r="E87" s="24">
        <f t="shared" si="1"/>
        <v>2004</v>
      </c>
      <c r="F87" s="24"/>
      <c r="G87" s="5"/>
      <c r="H87" s="11"/>
    </row>
    <row r="88" spans="1:8">
      <c r="A88" s="16">
        <v>38047</v>
      </c>
      <c r="B88" s="23">
        <v>18.5</v>
      </c>
      <c r="C88" s="23">
        <v>15.1</v>
      </c>
      <c r="D88" s="23">
        <v>104.9</v>
      </c>
      <c r="E88" s="24">
        <f t="shared" si="1"/>
        <v>2004</v>
      </c>
      <c r="F88" s="24"/>
      <c r="G88" s="5"/>
      <c r="H88" s="11"/>
    </row>
    <row r="89" spans="1:8">
      <c r="A89" s="16">
        <v>38078</v>
      </c>
      <c r="B89" s="23">
        <v>18.899999999999999</v>
      </c>
      <c r="C89" s="23">
        <v>15.7</v>
      </c>
      <c r="D89" s="23">
        <v>107.6</v>
      </c>
      <c r="E89" s="24">
        <f t="shared" si="1"/>
        <v>2004</v>
      </c>
      <c r="F89" s="24"/>
      <c r="G89" s="5"/>
      <c r="H89" s="11"/>
    </row>
    <row r="90" spans="1:8">
      <c r="A90" s="16">
        <v>38108</v>
      </c>
      <c r="B90" s="23">
        <v>15.8</v>
      </c>
      <c r="C90" s="23">
        <v>14.6</v>
      </c>
      <c r="D90" s="23">
        <v>109.6</v>
      </c>
      <c r="E90" s="24">
        <f t="shared" si="1"/>
        <v>2004</v>
      </c>
      <c r="F90" s="24"/>
      <c r="G90" s="5"/>
      <c r="H90" s="11"/>
    </row>
    <row r="91" spans="1:8">
      <c r="A91" s="16">
        <v>38139</v>
      </c>
      <c r="B91" s="23">
        <v>18.899999999999999</v>
      </c>
      <c r="C91" s="23">
        <v>17.3</v>
      </c>
      <c r="D91" s="23">
        <v>109.1</v>
      </c>
      <c r="E91" s="24">
        <f t="shared" si="1"/>
        <v>2004</v>
      </c>
      <c r="F91" s="24"/>
      <c r="G91" s="5"/>
      <c r="H91" s="11"/>
    </row>
    <row r="92" spans="1:8">
      <c r="A92" s="16">
        <v>38169</v>
      </c>
      <c r="B92" s="23">
        <v>17.399999999999999</v>
      </c>
      <c r="C92" s="23">
        <v>15.5</v>
      </c>
      <c r="D92" s="23">
        <v>108.6</v>
      </c>
      <c r="E92" s="24">
        <f t="shared" si="1"/>
        <v>2004</v>
      </c>
      <c r="F92" s="24"/>
      <c r="G92" s="5"/>
      <c r="H92" s="11"/>
    </row>
    <row r="93" spans="1:8">
      <c r="A93" s="16">
        <v>38200</v>
      </c>
      <c r="B93" s="23">
        <v>20.100000000000001</v>
      </c>
      <c r="C93" s="23">
        <v>17.8</v>
      </c>
      <c r="D93" s="23">
        <v>108.5</v>
      </c>
      <c r="E93" s="24">
        <f t="shared" si="1"/>
        <v>2004</v>
      </c>
      <c r="F93" s="24"/>
      <c r="G93" s="5"/>
      <c r="H93" s="11"/>
    </row>
    <row r="94" spans="1:8">
      <c r="A94" s="16">
        <v>38231</v>
      </c>
      <c r="B94" s="23">
        <v>19.899999999999999</v>
      </c>
      <c r="C94" s="23">
        <v>17.8</v>
      </c>
      <c r="D94" s="23">
        <v>107.9</v>
      </c>
      <c r="E94" s="24">
        <f t="shared" si="1"/>
        <v>2004</v>
      </c>
      <c r="F94" s="24"/>
      <c r="G94" s="5"/>
      <c r="H94" s="11"/>
    </row>
    <row r="95" spans="1:8">
      <c r="A95" s="16">
        <v>38261</v>
      </c>
      <c r="B95" s="23">
        <v>19.3</v>
      </c>
      <c r="C95" s="23">
        <v>16.8</v>
      </c>
      <c r="D95" s="23">
        <v>107.6</v>
      </c>
      <c r="E95" s="24">
        <f t="shared" si="1"/>
        <v>2004</v>
      </c>
      <c r="F95" s="24"/>
      <c r="G95" s="5"/>
      <c r="H95" s="11"/>
    </row>
    <row r="96" spans="1:8">
      <c r="A96" s="16">
        <v>38292</v>
      </c>
      <c r="B96" s="23">
        <v>15.1</v>
      </c>
      <c r="C96" s="23">
        <v>17.5</v>
      </c>
      <c r="D96" s="23">
        <v>106.7</v>
      </c>
      <c r="E96" s="24">
        <f t="shared" si="1"/>
        <v>2004</v>
      </c>
      <c r="F96" s="24"/>
      <c r="G96" s="5"/>
      <c r="H96" s="11"/>
    </row>
    <row r="97" spans="1:8">
      <c r="A97" s="16">
        <v>38322</v>
      </c>
      <c r="B97" s="23">
        <v>8.5</v>
      </c>
      <c r="C97" s="23">
        <v>11.7</v>
      </c>
      <c r="D97" s="23">
        <v>105.2</v>
      </c>
      <c r="E97" s="24">
        <f t="shared" si="1"/>
        <v>2004</v>
      </c>
      <c r="F97" s="24"/>
      <c r="G97" s="5"/>
      <c r="H97" s="11"/>
    </row>
    <row r="98" spans="1:8">
      <c r="A98" s="16">
        <v>38353</v>
      </c>
      <c r="B98" s="23">
        <v>11.2</v>
      </c>
      <c r="C98" s="23">
        <v>10.199999999999999</v>
      </c>
      <c r="D98" s="23">
        <v>104.5</v>
      </c>
      <c r="E98" s="24">
        <f t="shared" si="1"/>
        <v>2005</v>
      </c>
      <c r="F98" s="24"/>
      <c r="G98" s="5"/>
      <c r="H98" s="11"/>
    </row>
    <row r="99" spans="1:8">
      <c r="A99" s="16">
        <v>38384</v>
      </c>
      <c r="B99" s="23">
        <v>10.5</v>
      </c>
      <c r="C99" s="23">
        <v>10</v>
      </c>
      <c r="D99" s="23">
        <v>103.2</v>
      </c>
      <c r="E99" s="24">
        <f t="shared" si="1"/>
        <v>2005</v>
      </c>
      <c r="F99" s="24"/>
      <c r="G99" s="5"/>
      <c r="H99" s="11"/>
    </row>
    <row r="100" spans="1:8">
      <c r="A100" s="16">
        <v>38412</v>
      </c>
      <c r="B100" s="23">
        <v>8.5</v>
      </c>
      <c r="C100" s="23">
        <v>7.4</v>
      </c>
      <c r="D100" s="23">
        <v>102.2</v>
      </c>
      <c r="E100" s="24">
        <f t="shared" si="1"/>
        <v>2005</v>
      </c>
      <c r="F100" s="24"/>
      <c r="G100" s="5"/>
      <c r="H100" s="11"/>
    </row>
    <row r="101" spans="1:8">
      <c r="A101" s="16">
        <v>38443</v>
      </c>
      <c r="B101" s="23">
        <v>11.8</v>
      </c>
      <c r="C101" s="23">
        <v>7.6</v>
      </c>
      <c r="D101" s="23">
        <v>100.9</v>
      </c>
      <c r="E101" s="24">
        <f t="shared" si="1"/>
        <v>2005</v>
      </c>
      <c r="F101" s="24"/>
      <c r="G101" s="5"/>
      <c r="H101" s="11"/>
    </row>
    <row r="102" spans="1:8">
      <c r="A102" s="16">
        <v>38473</v>
      </c>
      <c r="B102" s="23">
        <v>14.6</v>
      </c>
      <c r="C102" s="23">
        <v>10.9</v>
      </c>
      <c r="D102" s="23">
        <v>99.5</v>
      </c>
      <c r="E102" s="24">
        <f t="shared" si="1"/>
        <v>2005</v>
      </c>
      <c r="F102" s="24"/>
      <c r="G102" s="5"/>
      <c r="H102" s="11"/>
    </row>
    <row r="103" spans="1:8">
      <c r="A103" s="16">
        <v>38504</v>
      </c>
      <c r="B103" s="23">
        <v>12.7</v>
      </c>
      <c r="C103" s="23">
        <v>10.199999999999999</v>
      </c>
      <c r="D103" s="23">
        <v>100</v>
      </c>
      <c r="E103" s="24">
        <f t="shared" si="1"/>
        <v>2005</v>
      </c>
      <c r="F103" s="24"/>
      <c r="G103" s="5"/>
      <c r="H103" s="11"/>
    </row>
    <row r="104" spans="1:8">
      <c r="A104" s="16">
        <v>38534</v>
      </c>
      <c r="B104" s="23">
        <v>13.1</v>
      </c>
      <c r="C104" s="23">
        <v>9.6</v>
      </c>
      <c r="D104" s="23">
        <v>100</v>
      </c>
      <c r="E104" s="24">
        <f t="shared" si="1"/>
        <v>2005</v>
      </c>
      <c r="F104" s="24"/>
      <c r="G104" s="5"/>
      <c r="H104" s="11"/>
    </row>
    <row r="105" spans="1:8">
      <c r="A105" s="16">
        <v>38565</v>
      </c>
      <c r="B105" s="23">
        <v>14.7</v>
      </c>
      <c r="C105" s="23">
        <v>11.5</v>
      </c>
      <c r="D105" s="23">
        <v>99.8</v>
      </c>
      <c r="E105" s="24">
        <f t="shared" si="1"/>
        <v>2005</v>
      </c>
      <c r="F105" s="24"/>
      <c r="G105" s="5"/>
      <c r="H105" s="11"/>
    </row>
    <row r="106" spans="1:8">
      <c r="A106" s="16">
        <v>38596</v>
      </c>
      <c r="B106" s="23">
        <v>15.3</v>
      </c>
      <c r="C106" s="23">
        <v>10.8</v>
      </c>
      <c r="D106" s="23">
        <v>99.5</v>
      </c>
      <c r="E106" s="24">
        <f t="shared" si="1"/>
        <v>2005</v>
      </c>
      <c r="F106" s="24"/>
      <c r="G106" s="5"/>
      <c r="H106" s="11"/>
    </row>
    <row r="107" spans="1:8">
      <c r="A107" s="16">
        <v>38626</v>
      </c>
      <c r="B107" s="23">
        <v>15.6</v>
      </c>
      <c r="C107" s="23">
        <v>12.5</v>
      </c>
      <c r="D107" s="23">
        <v>99.1</v>
      </c>
      <c r="E107" s="24">
        <f t="shared" si="1"/>
        <v>2005</v>
      </c>
      <c r="F107" s="24"/>
      <c r="G107" s="5"/>
      <c r="H107" s="11"/>
    </row>
    <row r="108" spans="1:8">
      <c r="A108" s="16">
        <v>38657</v>
      </c>
      <c r="B108" s="23">
        <v>15.6</v>
      </c>
      <c r="C108" s="23">
        <v>13</v>
      </c>
      <c r="D108" s="23">
        <v>99.6</v>
      </c>
      <c r="E108" s="24">
        <f t="shared" si="1"/>
        <v>2005</v>
      </c>
      <c r="F108" s="24"/>
      <c r="G108" s="5"/>
      <c r="H108" s="11"/>
    </row>
    <row r="109" spans="1:8">
      <c r="A109" s="16">
        <v>38687</v>
      </c>
      <c r="B109" s="23">
        <v>13.5</v>
      </c>
      <c r="C109" s="23">
        <v>10.9</v>
      </c>
      <c r="D109" s="23">
        <v>100.2</v>
      </c>
      <c r="E109" s="24">
        <f t="shared" si="1"/>
        <v>2005</v>
      </c>
      <c r="F109" s="24"/>
      <c r="G109" s="5"/>
      <c r="H109" s="11"/>
    </row>
    <row r="110" spans="1:8">
      <c r="A110" s="16">
        <v>38718</v>
      </c>
      <c r="B110" s="23">
        <v>12</v>
      </c>
      <c r="C110" s="23">
        <v>9.1999999999999993</v>
      </c>
      <c r="D110" s="23">
        <v>100.3</v>
      </c>
      <c r="E110" s="24">
        <f t="shared" si="1"/>
        <v>2006</v>
      </c>
      <c r="F110" s="24"/>
      <c r="G110" s="5"/>
      <c r="H110" s="11"/>
    </row>
    <row r="111" spans="1:8">
      <c r="A111" s="16">
        <v>38749</v>
      </c>
      <c r="B111" s="23">
        <v>11.2</v>
      </c>
      <c r="C111" s="23">
        <v>8.5</v>
      </c>
      <c r="D111" s="23">
        <v>100.7</v>
      </c>
      <c r="E111" s="24">
        <f t="shared" si="1"/>
        <v>2006</v>
      </c>
      <c r="F111" s="24"/>
      <c r="G111" s="5"/>
      <c r="H111" s="11"/>
    </row>
    <row r="112" spans="1:8">
      <c r="A112" s="16">
        <v>38777</v>
      </c>
      <c r="B112" s="23">
        <v>18.100000000000001</v>
      </c>
      <c r="C112" s="23">
        <v>10.1</v>
      </c>
      <c r="D112" s="23">
        <v>100.9</v>
      </c>
      <c r="E112" s="24">
        <f t="shared" si="1"/>
        <v>2006</v>
      </c>
      <c r="F112" s="24"/>
      <c r="G112" s="5"/>
      <c r="H112" s="11"/>
    </row>
    <row r="113" spans="1:8">
      <c r="A113" s="16">
        <v>38808</v>
      </c>
      <c r="B113" s="23">
        <v>16.100000000000001</v>
      </c>
      <c r="C113" s="23">
        <v>12.6</v>
      </c>
      <c r="D113" s="23">
        <v>101.7</v>
      </c>
      <c r="E113" s="24">
        <f t="shared" si="1"/>
        <v>2006</v>
      </c>
      <c r="F113" s="24"/>
      <c r="G113" s="5"/>
      <c r="H113" s="11"/>
    </row>
    <row r="114" spans="1:8">
      <c r="A114" s="16">
        <v>38838</v>
      </c>
      <c r="B114" s="23">
        <v>18.7</v>
      </c>
      <c r="C114" s="23">
        <v>14.9</v>
      </c>
      <c r="D114" s="23">
        <v>102.3</v>
      </c>
      <c r="E114" s="24">
        <f t="shared" si="1"/>
        <v>2006</v>
      </c>
      <c r="F114" s="24"/>
      <c r="G114" s="5"/>
      <c r="H114" s="11"/>
    </row>
    <row r="115" spans="1:8">
      <c r="A115" s="16">
        <v>38869</v>
      </c>
      <c r="B115" s="23">
        <v>18.7</v>
      </c>
      <c r="C115" s="23">
        <v>16.2</v>
      </c>
      <c r="D115" s="23">
        <v>103</v>
      </c>
      <c r="E115" s="24">
        <f t="shared" si="1"/>
        <v>2006</v>
      </c>
      <c r="F115" s="24"/>
      <c r="G115" s="5"/>
      <c r="H115" s="11"/>
    </row>
    <row r="116" spans="1:8">
      <c r="A116" s="16">
        <v>38899</v>
      </c>
      <c r="B116" s="23">
        <v>16.8</v>
      </c>
      <c r="C116" s="23">
        <v>14.8</v>
      </c>
      <c r="D116" s="23">
        <v>103.5</v>
      </c>
      <c r="E116" s="24">
        <f t="shared" si="1"/>
        <v>2006</v>
      </c>
      <c r="F116" s="24"/>
      <c r="G116" s="5"/>
      <c r="H116" s="11"/>
    </row>
    <row r="117" spans="1:8">
      <c r="A117" s="16">
        <v>38930</v>
      </c>
      <c r="B117" s="23">
        <v>15.4</v>
      </c>
      <c r="C117" s="23">
        <v>14.7</v>
      </c>
      <c r="D117" s="23">
        <v>103.3</v>
      </c>
      <c r="E117" s="24">
        <f t="shared" si="1"/>
        <v>2006</v>
      </c>
      <c r="F117" s="24"/>
      <c r="G117" s="5"/>
      <c r="H117" s="11"/>
    </row>
    <row r="118" spans="1:8">
      <c r="A118" s="16">
        <v>38961</v>
      </c>
      <c r="B118" s="23">
        <v>18.8</v>
      </c>
      <c r="C118" s="23">
        <v>15.4</v>
      </c>
      <c r="D118" s="23">
        <v>103.6</v>
      </c>
      <c r="E118" s="24">
        <f t="shared" si="1"/>
        <v>2006</v>
      </c>
      <c r="F118" s="24"/>
      <c r="G118" s="5"/>
      <c r="H118" s="11"/>
    </row>
    <row r="119" spans="1:8">
      <c r="A119" s="16">
        <v>38991</v>
      </c>
      <c r="B119" s="23">
        <v>21.8</v>
      </c>
      <c r="C119" s="23">
        <v>18.2</v>
      </c>
      <c r="D119" s="23">
        <v>103.2</v>
      </c>
      <c r="E119" s="24">
        <f t="shared" si="1"/>
        <v>2006</v>
      </c>
      <c r="F119" s="24"/>
      <c r="G119" s="5"/>
      <c r="H119" s="11"/>
    </row>
    <row r="120" spans="1:8">
      <c r="A120" s="16">
        <v>39022</v>
      </c>
      <c r="B120" s="23">
        <v>22.5</v>
      </c>
      <c r="C120" s="23">
        <v>19.3</v>
      </c>
      <c r="D120" s="23">
        <v>102.5</v>
      </c>
      <c r="E120" s="24">
        <f t="shared" si="1"/>
        <v>2006</v>
      </c>
      <c r="F120" s="24"/>
      <c r="G120" s="5"/>
      <c r="H120" s="11"/>
    </row>
    <row r="121" spans="1:8">
      <c r="A121" s="16">
        <v>39052</v>
      </c>
      <c r="B121" s="23">
        <v>24.3</v>
      </c>
      <c r="C121" s="23">
        <v>19.5</v>
      </c>
      <c r="D121" s="23">
        <v>102.6</v>
      </c>
      <c r="E121" s="24">
        <f t="shared" si="1"/>
        <v>2006</v>
      </c>
      <c r="F121" s="24"/>
      <c r="G121" s="5"/>
      <c r="H121" s="11"/>
    </row>
    <row r="122" spans="1:8">
      <c r="A122" s="16">
        <v>39083</v>
      </c>
      <c r="B122" s="25">
        <v>20.399999999999999</v>
      </c>
      <c r="C122" s="25">
        <v>20.9</v>
      </c>
      <c r="D122" s="23">
        <v>103.1</v>
      </c>
      <c r="E122" s="24">
        <f t="shared" si="1"/>
        <v>2007</v>
      </c>
      <c r="F122" s="24"/>
      <c r="G122" s="5"/>
      <c r="H122" s="11"/>
    </row>
    <row r="123" spans="1:8">
      <c r="A123" s="16">
        <v>39114</v>
      </c>
      <c r="B123" s="25">
        <v>20.3</v>
      </c>
      <c r="C123" s="25">
        <v>23</v>
      </c>
      <c r="D123" s="23">
        <v>103.5</v>
      </c>
      <c r="E123" s="24">
        <f t="shared" si="1"/>
        <v>2007</v>
      </c>
      <c r="F123" s="24"/>
      <c r="G123" s="5"/>
      <c r="H123" s="11"/>
    </row>
    <row r="124" spans="1:8">
      <c r="A124" s="16">
        <v>39142</v>
      </c>
      <c r="B124" s="25">
        <v>20.6</v>
      </c>
      <c r="C124" s="25">
        <v>23.1</v>
      </c>
      <c r="D124" s="23">
        <v>103.3</v>
      </c>
      <c r="E124" s="24">
        <f t="shared" si="1"/>
        <v>2007</v>
      </c>
      <c r="F124" s="24"/>
      <c r="G124" s="5"/>
      <c r="H124" s="11"/>
    </row>
    <row r="125" spans="1:8">
      <c r="A125" s="16">
        <v>39173</v>
      </c>
      <c r="B125" s="25">
        <v>19.8</v>
      </c>
      <c r="C125" s="25">
        <v>22</v>
      </c>
      <c r="D125" s="23">
        <v>102.2</v>
      </c>
      <c r="E125" s="24">
        <f t="shared" si="1"/>
        <v>2007</v>
      </c>
      <c r="F125" s="24"/>
      <c r="G125" s="5"/>
      <c r="H125" s="11"/>
    </row>
    <row r="126" spans="1:8">
      <c r="A126" s="16">
        <v>39203</v>
      </c>
      <c r="B126" s="25">
        <v>18.3</v>
      </c>
      <c r="C126" s="25">
        <v>22.3</v>
      </c>
      <c r="D126" s="23">
        <v>102.1</v>
      </c>
      <c r="E126" s="24">
        <f t="shared" si="1"/>
        <v>2007</v>
      </c>
      <c r="F126" s="24"/>
      <c r="G126" s="5"/>
      <c r="H126" s="11"/>
    </row>
    <row r="127" spans="1:8">
      <c r="A127" s="16">
        <v>39234</v>
      </c>
      <c r="B127" s="25">
        <v>18.3</v>
      </c>
      <c r="C127" s="25">
        <v>22</v>
      </c>
      <c r="D127" s="23">
        <v>101.7</v>
      </c>
      <c r="E127" s="24">
        <f t="shared" si="1"/>
        <v>2007</v>
      </c>
      <c r="F127" s="24"/>
      <c r="G127" s="5"/>
      <c r="H127" s="11"/>
    </row>
    <row r="128" spans="1:8">
      <c r="A128" s="16">
        <v>39264</v>
      </c>
      <c r="B128" s="25">
        <v>16.2</v>
      </c>
      <c r="C128" s="25">
        <v>20.3</v>
      </c>
      <c r="D128" s="23">
        <v>101.4</v>
      </c>
      <c r="E128" s="24">
        <f t="shared" si="1"/>
        <v>2007</v>
      </c>
      <c r="F128" s="24"/>
      <c r="G128" s="5"/>
      <c r="H128" s="11"/>
    </row>
    <row r="129" spans="1:8">
      <c r="A129" s="16">
        <v>39295</v>
      </c>
      <c r="B129" s="25">
        <v>16.5</v>
      </c>
      <c r="C129" s="25">
        <v>20.100000000000001</v>
      </c>
      <c r="D129" s="23">
        <v>101.8</v>
      </c>
      <c r="E129" s="24">
        <f t="shared" si="1"/>
        <v>2007</v>
      </c>
      <c r="F129" s="24"/>
      <c r="G129" s="5"/>
      <c r="H129" s="11"/>
    </row>
    <row r="130" spans="1:8">
      <c r="A130" s="16">
        <v>39326</v>
      </c>
      <c r="B130" s="25">
        <v>15</v>
      </c>
      <c r="C130" s="25">
        <v>21.5</v>
      </c>
      <c r="D130" s="23">
        <v>101.8</v>
      </c>
      <c r="E130" s="24">
        <f t="shared" si="1"/>
        <v>2007</v>
      </c>
      <c r="F130" s="24"/>
      <c r="G130" s="5"/>
      <c r="H130" s="11"/>
    </row>
    <row r="131" spans="1:8">
      <c r="A131" s="16">
        <v>39356</v>
      </c>
      <c r="B131" s="25">
        <v>17.600000000000001</v>
      </c>
      <c r="C131" s="25">
        <v>21.6</v>
      </c>
      <c r="D131" s="25">
        <v>102</v>
      </c>
      <c r="E131" s="24">
        <f t="shared" ref="E131:E194" si="2">YEAR(A131)</f>
        <v>2007</v>
      </c>
      <c r="F131" s="24"/>
      <c r="G131" s="5"/>
      <c r="H131" s="11"/>
    </row>
    <row r="132" spans="1:8">
      <c r="A132" s="16">
        <v>39387</v>
      </c>
      <c r="B132" s="25">
        <v>17.2</v>
      </c>
      <c r="C132" s="25">
        <v>21.3</v>
      </c>
      <c r="D132" s="25">
        <v>102.2</v>
      </c>
      <c r="E132" s="24">
        <f t="shared" si="2"/>
        <v>2007</v>
      </c>
      <c r="F132" s="26"/>
      <c r="G132" s="5"/>
      <c r="H132" s="11"/>
    </row>
    <row r="133" spans="1:8">
      <c r="A133" s="16">
        <v>39417</v>
      </c>
      <c r="B133" s="25">
        <v>20.3</v>
      </c>
      <c r="C133" s="25">
        <v>22.1</v>
      </c>
      <c r="D133" s="25">
        <v>101.9</v>
      </c>
      <c r="E133" s="24">
        <f t="shared" si="2"/>
        <v>2007</v>
      </c>
      <c r="F133" s="26"/>
      <c r="G133" s="5"/>
      <c r="H133" s="11"/>
    </row>
    <row r="134" spans="1:8">
      <c r="A134" s="16">
        <v>39448</v>
      </c>
      <c r="B134" s="25">
        <v>20</v>
      </c>
      <c r="C134" s="25">
        <v>21.9</v>
      </c>
      <c r="D134" s="25">
        <v>102.5</v>
      </c>
      <c r="E134" s="24">
        <f t="shared" si="2"/>
        <v>2008</v>
      </c>
      <c r="F134" s="26"/>
      <c r="G134" s="5"/>
      <c r="H134" s="11"/>
    </row>
    <row r="135" spans="1:8">
      <c r="A135" s="16">
        <v>39479</v>
      </c>
      <c r="B135" s="25">
        <v>20.2</v>
      </c>
      <c r="C135" s="25">
        <v>20.7</v>
      </c>
      <c r="D135" s="25">
        <v>102.8</v>
      </c>
      <c r="E135" s="24">
        <f t="shared" si="2"/>
        <v>2008</v>
      </c>
      <c r="F135" s="26"/>
      <c r="G135" s="5"/>
      <c r="H135" s="11"/>
    </row>
    <row r="136" spans="1:8">
      <c r="A136" s="16">
        <v>39508</v>
      </c>
      <c r="B136" s="25">
        <v>18.5</v>
      </c>
      <c r="C136" s="25">
        <v>20.7</v>
      </c>
      <c r="D136" s="25">
        <v>102.5</v>
      </c>
      <c r="E136" s="24">
        <f t="shared" si="2"/>
        <v>2008</v>
      </c>
      <c r="F136" s="26"/>
      <c r="G136" s="5"/>
      <c r="H136" s="11"/>
    </row>
    <row r="137" spans="1:8">
      <c r="A137" s="16">
        <v>39539</v>
      </c>
      <c r="B137" s="25">
        <v>17.2</v>
      </c>
      <c r="C137" s="25">
        <v>20.100000000000001</v>
      </c>
      <c r="D137" s="25">
        <v>101.9</v>
      </c>
      <c r="E137" s="24">
        <f t="shared" si="2"/>
        <v>2008</v>
      </c>
      <c r="F137" s="26"/>
      <c r="G137" s="5"/>
      <c r="H137" s="11"/>
    </row>
    <row r="138" spans="1:8">
      <c r="A138" s="16">
        <v>39569</v>
      </c>
      <c r="B138" s="25">
        <v>14.5</v>
      </c>
      <c r="C138" s="25">
        <v>17.399999999999999</v>
      </c>
      <c r="D138" s="25">
        <v>102.4</v>
      </c>
      <c r="E138" s="24">
        <f t="shared" si="2"/>
        <v>2008</v>
      </c>
      <c r="F138" s="26"/>
      <c r="G138" s="5"/>
      <c r="H138" s="11"/>
    </row>
    <row r="139" spans="1:8">
      <c r="A139" s="16">
        <v>39600</v>
      </c>
      <c r="B139" s="25">
        <v>12.4</v>
      </c>
      <c r="C139" s="25">
        <v>15.3</v>
      </c>
      <c r="D139" s="25">
        <v>102.2</v>
      </c>
      <c r="E139" s="24">
        <f t="shared" si="2"/>
        <v>2008</v>
      </c>
      <c r="F139" s="26"/>
      <c r="G139" s="5"/>
      <c r="H139" s="11"/>
    </row>
    <row r="140" spans="1:8">
      <c r="A140" s="16">
        <v>39630</v>
      </c>
      <c r="B140" s="25">
        <v>9.1</v>
      </c>
      <c r="C140" s="25">
        <v>13.2</v>
      </c>
      <c r="D140" s="25">
        <v>101.7</v>
      </c>
      <c r="E140" s="24">
        <f t="shared" si="2"/>
        <v>2008</v>
      </c>
      <c r="F140" s="26"/>
      <c r="G140" s="5"/>
      <c r="H140" s="11"/>
    </row>
    <row r="141" spans="1:8">
      <c r="A141" s="16">
        <v>39661</v>
      </c>
      <c r="B141" s="25">
        <v>7.7</v>
      </c>
      <c r="C141" s="25">
        <v>11.9</v>
      </c>
      <c r="D141" s="25">
        <v>101.4</v>
      </c>
      <c r="E141" s="24">
        <f t="shared" si="2"/>
        <v>2008</v>
      </c>
      <c r="F141" s="26"/>
      <c r="G141" s="5"/>
      <c r="H141" s="11"/>
    </row>
    <row r="142" spans="1:8">
      <c r="A142" s="16">
        <v>39692</v>
      </c>
      <c r="B142" s="25">
        <v>6.6</v>
      </c>
      <c r="C142" s="25">
        <v>9.1999999999999993</v>
      </c>
      <c r="D142" s="25">
        <v>102</v>
      </c>
      <c r="E142" s="24">
        <f t="shared" si="2"/>
        <v>2008</v>
      </c>
      <c r="F142" s="26"/>
      <c r="G142" s="5"/>
      <c r="H142" s="11"/>
    </row>
    <row r="143" spans="1:8">
      <c r="A143" s="16">
        <v>39722</v>
      </c>
      <c r="B143" s="25">
        <v>2.2999999999999998</v>
      </c>
      <c r="C143" s="25">
        <v>5.8</v>
      </c>
      <c r="D143" s="25">
        <v>102.4</v>
      </c>
      <c r="E143" s="24">
        <f t="shared" si="2"/>
        <v>2008</v>
      </c>
      <c r="F143" s="26"/>
      <c r="G143" s="5"/>
      <c r="H143" s="11"/>
    </row>
    <row r="144" spans="1:8">
      <c r="A144" s="16">
        <v>39753</v>
      </c>
      <c r="B144" s="25">
        <v>-2.2999999999999998</v>
      </c>
      <c r="C144" s="25">
        <v>2.8</v>
      </c>
      <c r="D144" s="25">
        <v>102.2</v>
      </c>
      <c r="E144" s="24">
        <f t="shared" si="2"/>
        <v>2008</v>
      </c>
      <c r="F144" s="26"/>
      <c r="G144" s="5"/>
      <c r="H144" s="11"/>
    </row>
    <row r="145" spans="1:10">
      <c r="A145" s="16">
        <v>39783</v>
      </c>
      <c r="B145" s="25">
        <v>-9.5</v>
      </c>
      <c r="C145" s="25">
        <v>-6.6</v>
      </c>
      <c r="D145" s="25">
        <v>102.7</v>
      </c>
      <c r="E145" s="24">
        <f t="shared" si="2"/>
        <v>2008</v>
      </c>
      <c r="F145" s="26"/>
      <c r="G145" s="5"/>
      <c r="H145" s="11"/>
    </row>
    <row r="146" spans="1:10">
      <c r="A146" s="16">
        <v>39814</v>
      </c>
      <c r="B146" s="25">
        <v>-13</v>
      </c>
      <c r="C146" s="25">
        <v>-10.9</v>
      </c>
      <c r="D146" s="25">
        <v>103.6</v>
      </c>
      <c r="E146" s="24">
        <f t="shared" si="2"/>
        <v>2009</v>
      </c>
      <c r="F146" s="26"/>
      <c r="G146" s="5"/>
      <c r="H146" s="11"/>
      <c r="I146" s="1"/>
      <c r="J146" s="1"/>
    </row>
    <row r="147" spans="1:10">
      <c r="A147" s="16">
        <v>39845</v>
      </c>
      <c r="B147" s="25">
        <v>-18.3</v>
      </c>
      <c r="C147" s="25">
        <v>-15.2</v>
      </c>
      <c r="D147" s="25">
        <v>105.7</v>
      </c>
      <c r="E147" s="24">
        <f t="shared" si="2"/>
        <v>2009</v>
      </c>
      <c r="F147" s="26"/>
      <c r="G147" s="5"/>
      <c r="H147" s="11"/>
      <c r="I147" s="1"/>
      <c r="J147" s="1"/>
    </row>
    <row r="148" spans="1:10">
      <c r="A148" s="16">
        <v>39873</v>
      </c>
      <c r="B148" s="25">
        <v>-18.600000000000001</v>
      </c>
      <c r="C148" s="25">
        <v>-16</v>
      </c>
      <c r="D148" s="25">
        <v>105.5</v>
      </c>
      <c r="E148" s="24">
        <f t="shared" si="2"/>
        <v>2009</v>
      </c>
      <c r="F148" s="26"/>
      <c r="G148" s="5"/>
      <c r="H148" s="11"/>
      <c r="I148" s="1"/>
      <c r="J148" s="1"/>
    </row>
    <row r="149" spans="1:10">
      <c r="A149" s="16">
        <v>39904</v>
      </c>
      <c r="B149" s="25">
        <v>-9.1999999999999993</v>
      </c>
      <c r="C149" s="25">
        <v>-11.1</v>
      </c>
      <c r="D149" s="25">
        <v>104.8</v>
      </c>
      <c r="E149" s="24">
        <f t="shared" si="2"/>
        <v>2009</v>
      </c>
      <c r="F149" s="26"/>
      <c r="G149" s="5"/>
      <c r="H149" s="11"/>
      <c r="I149" s="1"/>
      <c r="J149" s="1"/>
    </row>
    <row r="150" spans="1:10">
      <c r="A150" s="16">
        <v>39934</v>
      </c>
      <c r="B150" s="25">
        <v>-8</v>
      </c>
      <c r="C150" s="25">
        <v>-9.6999999999999993</v>
      </c>
      <c r="D150" s="25">
        <v>103.7</v>
      </c>
      <c r="E150" s="24">
        <f t="shared" si="2"/>
        <v>2009</v>
      </c>
      <c r="F150" s="26"/>
      <c r="G150" s="5"/>
      <c r="H150" s="11"/>
      <c r="I150" s="1"/>
      <c r="J150" s="1"/>
    </row>
    <row r="151" spans="1:10">
      <c r="A151" s="16">
        <v>39965</v>
      </c>
      <c r="B151" s="25">
        <v>-5.9</v>
      </c>
      <c r="C151" s="25">
        <v>-8</v>
      </c>
      <c r="D151" s="25">
        <v>104.1</v>
      </c>
      <c r="E151" s="24">
        <f t="shared" si="2"/>
        <v>2009</v>
      </c>
      <c r="F151" s="26"/>
      <c r="G151" s="5"/>
      <c r="H151" s="11"/>
      <c r="I151" s="1"/>
      <c r="J151" s="1"/>
    </row>
    <row r="152" spans="1:10">
      <c r="A152" s="16">
        <v>39995</v>
      </c>
      <c r="B152" s="25">
        <v>-3.3</v>
      </c>
      <c r="C152" s="25">
        <v>-7.4</v>
      </c>
      <c r="D152" s="25">
        <v>102.8</v>
      </c>
      <c r="E152" s="24">
        <f t="shared" si="2"/>
        <v>2009</v>
      </c>
      <c r="F152" s="26"/>
      <c r="G152" s="5"/>
      <c r="H152" s="11"/>
      <c r="I152" s="1"/>
      <c r="J152" s="1"/>
    </row>
    <row r="153" spans="1:10">
      <c r="A153" s="16">
        <v>40026</v>
      </c>
      <c r="B153" s="25">
        <v>-0.8</v>
      </c>
      <c r="C153" s="25">
        <v>-5.7</v>
      </c>
      <c r="D153" s="25">
        <v>102.2</v>
      </c>
      <c r="E153" s="24">
        <f t="shared" si="2"/>
        <v>2009</v>
      </c>
      <c r="F153" s="26"/>
      <c r="G153" s="5"/>
      <c r="H153" s="11"/>
      <c r="I153" s="1"/>
      <c r="J153" s="1"/>
    </row>
    <row r="154" spans="1:10">
      <c r="A154" s="16">
        <v>40057</v>
      </c>
      <c r="B154" s="25">
        <v>2.1</v>
      </c>
      <c r="C154" s="25">
        <v>-2.2000000000000002</v>
      </c>
      <c r="D154" s="25">
        <v>101.6</v>
      </c>
      <c r="E154" s="24">
        <f t="shared" si="2"/>
        <v>2009</v>
      </c>
      <c r="F154" s="26"/>
      <c r="G154" s="5"/>
      <c r="H154" s="11"/>
      <c r="I154" s="1"/>
      <c r="J154" s="1"/>
    </row>
    <row r="155" spans="1:10">
      <c r="A155" s="16">
        <v>40087</v>
      </c>
      <c r="B155" s="25">
        <v>4.0999999999999996</v>
      </c>
      <c r="C155" s="25">
        <v>-1.3</v>
      </c>
      <c r="D155" s="25">
        <v>102</v>
      </c>
      <c r="E155" s="24">
        <f t="shared" si="2"/>
        <v>2009</v>
      </c>
      <c r="F155" s="26"/>
      <c r="G155" s="5"/>
      <c r="H155" s="11"/>
      <c r="I155" s="1"/>
      <c r="J155" s="1"/>
    </row>
    <row r="156" spans="1:10">
      <c r="A156" s="16">
        <v>40118</v>
      </c>
      <c r="B156" s="23">
        <v>6.7</v>
      </c>
      <c r="C156" s="23">
        <v>2.7</v>
      </c>
      <c r="D156" s="25">
        <v>101.9</v>
      </c>
      <c r="E156" s="24">
        <f t="shared" si="2"/>
        <v>2009</v>
      </c>
      <c r="F156" s="26"/>
      <c r="G156" s="5"/>
      <c r="H156" s="11"/>
      <c r="I156" s="1"/>
      <c r="J156" s="1"/>
    </row>
    <row r="157" spans="1:10">
      <c r="A157" s="16">
        <v>40148</v>
      </c>
      <c r="B157" s="23">
        <v>3.3</v>
      </c>
      <c r="C157" s="23">
        <v>2.8</v>
      </c>
      <c r="D157" s="25">
        <v>102.1</v>
      </c>
      <c r="E157" s="24">
        <f t="shared" si="2"/>
        <v>2009</v>
      </c>
      <c r="F157" s="26"/>
      <c r="G157" s="5"/>
      <c r="H157" s="11"/>
      <c r="I157" s="1"/>
      <c r="J157" s="1"/>
    </row>
    <row r="158" spans="1:10">
      <c r="A158" s="16">
        <v>40179</v>
      </c>
      <c r="B158" s="25">
        <v>8.1</v>
      </c>
      <c r="C158" s="25">
        <v>3.3</v>
      </c>
      <c r="D158" s="25">
        <v>100.2</v>
      </c>
      <c r="E158" s="24">
        <f t="shared" si="2"/>
        <v>2010</v>
      </c>
      <c r="F158" s="26"/>
      <c r="G158" s="5"/>
      <c r="H158" s="11"/>
      <c r="I158" s="1"/>
      <c r="J158" s="1"/>
    </row>
    <row r="159" spans="1:10">
      <c r="A159" s="16">
        <v>40210</v>
      </c>
      <c r="B159" s="25">
        <v>10.6</v>
      </c>
      <c r="C159" s="25">
        <v>5.2</v>
      </c>
      <c r="D159" s="25">
        <v>97.6</v>
      </c>
      <c r="E159" s="24">
        <f t="shared" si="2"/>
        <v>2010</v>
      </c>
      <c r="F159" s="26"/>
      <c r="G159" s="5"/>
      <c r="H159" s="11"/>
      <c r="I159" s="1"/>
      <c r="J159" s="1"/>
    </row>
    <row r="160" spans="1:10">
      <c r="A160" s="16">
        <v>40238</v>
      </c>
      <c r="B160" s="25">
        <v>15.2</v>
      </c>
      <c r="C160" s="25">
        <v>7.3</v>
      </c>
      <c r="D160" s="25">
        <v>97.4</v>
      </c>
      <c r="E160" s="24">
        <f t="shared" si="2"/>
        <v>2010</v>
      </c>
      <c r="F160" s="26"/>
      <c r="G160" s="5"/>
      <c r="H160" s="11"/>
      <c r="I160" s="1"/>
      <c r="J160" s="1"/>
    </row>
    <row r="161" spans="1:10">
      <c r="A161" s="16">
        <v>40269</v>
      </c>
      <c r="B161" s="25">
        <v>14.9</v>
      </c>
      <c r="C161" s="25">
        <v>7.4</v>
      </c>
      <c r="D161" s="25">
        <v>99.6</v>
      </c>
      <c r="E161" s="24">
        <f t="shared" si="2"/>
        <v>2010</v>
      </c>
      <c r="F161" s="26"/>
      <c r="G161" s="5"/>
      <c r="H161" s="11"/>
      <c r="I161" s="1"/>
      <c r="J161" s="1"/>
    </row>
    <row r="162" spans="1:10">
      <c r="A162" s="16">
        <v>40299</v>
      </c>
      <c r="B162" s="25">
        <v>12.2</v>
      </c>
      <c r="C162" s="25">
        <v>4.7</v>
      </c>
      <c r="D162" s="25">
        <v>101.9</v>
      </c>
      <c r="E162" s="24">
        <f t="shared" si="2"/>
        <v>2010</v>
      </c>
      <c r="F162" s="26"/>
      <c r="G162" s="5"/>
      <c r="H162" s="11"/>
      <c r="I162" s="1"/>
      <c r="J162" s="1"/>
    </row>
    <row r="163" spans="1:10">
      <c r="A163" s="16">
        <v>40330</v>
      </c>
      <c r="B163" s="25">
        <v>10.7</v>
      </c>
      <c r="C163" s="25">
        <v>4.8</v>
      </c>
      <c r="D163" s="25">
        <v>102.1</v>
      </c>
      <c r="E163" s="24">
        <f t="shared" si="2"/>
        <v>2010</v>
      </c>
      <c r="F163" s="26"/>
      <c r="G163" s="5"/>
      <c r="H163" s="11"/>
      <c r="I163" s="1"/>
      <c r="J163" s="1"/>
    </row>
    <row r="164" spans="1:10">
      <c r="A164" s="16">
        <v>40360</v>
      </c>
      <c r="B164" s="25">
        <v>9.9</v>
      </c>
      <c r="C164" s="25">
        <v>4.9000000000000004</v>
      </c>
      <c r="D164" s="25">
        <v>103.8</v>
      </c>
      <c r="E164" s="24">
        <f t="shared" si="2"/>
        <v>2010</v>
      </c>
      <c r="F164" s="26"/>
      <c r="G164" s="5"/>
      <c r="H164" s="11"/>
      <c r="I164" s="1"/>
      <c r="J164" s="1"/>
    </row>
    <row r="165" spans="1:10">
      <c r="A165" s="16">
        <v>40391</v>
      </c>
      <c r="B165" s="25">
        <v>10</v>
      </c>
      <c r="C165" s="25">
        <v>5.0999999999999996</v>
      </c>
      <c r="D165" s="25">
        <v>104</v>
      </c>
      <c r="E165" s="24">
        <f t="shared" si="2"/>
        <v>2010</v>
      </c>
      <c r="F165" s="26"/>
      <c r="G165" s="5"/>
      <c r="H165" s="11"/>
      <c r="I165" s="1"/>
      <c r="J165" s="1"/>
    </row>
    <row r="166" spans="1:10">
      <c r="A166" s="16">
        <v>40422</v>
      </c>
      <c r="B166" s="25">
        <v>10.199999999999999</v>
      </c>
      <c r="C166" s="25">
        <v>5.5</v>
      </c>
      <c r="D166" s="25">
        <v>104.3</v>
      </c>
      <c r="E166" s="24">
        <f t="shared" si="2"/>
        <v>2010</v>
      </c>
      <c r="F166" s="26"/>
      <c r="G166" s="5"/>
      <c r="H166" s="11"/>
      <c r="I166" s="1"/>
      <c r="J166" s="1"/>
    </row>
    <row r="167" spans="1:10">
      <c r="A167" s="16">
        <v>40452</v>
      </c>
      <c r="B167" s="25">
        <v>8.1999999999999993</v>
      </c>
      <c r="C167" s="25">
        <v>4.3</v>
      </c>
      <c r="D167" s="25">
        <v>103.9</v>
      </c>
      <c r="E167" s="24">
        <f t="shared" si="2"/>
        <v>2010</v>
      </c>
      <c r="F167" s="26"/>
      <c r="G167" s="5"/>
      <c r="H167" s="11"/>
      <c r="I167" s="1"/>
      <c r="J167" s="1"/>
    </row>
    <row r="168" spans="1:10">
      <c r="A168" s="16">
        <v>40483</v>
      </c>
      <c r="B168" s="25">
        <v>9</v>
      </c>
      <c r="C168" s="25">
        <v>5.4</v>
      </c>
      <c r="D168" s="25">
        <v>104.7</v>
      </c>
      <c r="E168" s="24">
        <f t="shared" si="2"/>
        <v>2010</v>
      </c>
      <c r="F168" s="26"/>
      <c r="G168" s="5"/>
      <c r="H168" s="11"/>
      <c r="I168" s="1"/>
      <c r="J168" s="1"/>
    </row>
    <row r="169" spans="1:10">
      <c r="A169" s="16">
        <v>40513</v>
      </c>
      <c r="B169" s="25">
        <v>9.8000000000000007</v>
      </c>
      <c r="C169" s="25">
        <v>6.5</v>
      </c>
      <c r="D169" s="25">
        <v>106.2</v>
      </c>
      <c r="E169" s="24">
        <f t="shared" si="2"/>
        <v>2010</v>
      </c>
      <c r="F169" s="26"/>
      <c r="G169" s="5"/>
      <c r="H169" s="11"/>
      <c r="I169" s="1"/>
      <c r="J169" s="1"/>
    </row>
    <row r="170" spans="1:10">
      <c r="A170" s="16">
        <v>40544</v>
      </c>
      <c r="B170" s="25">
        <v>6.4</v>
      </c>
      <c r="C170" s="25">
        <v>1</v>
      </c>
      <c r="D170" s="25">
        <v>103.6</v>
      </c>
      <c r="E170" s="24">
        <f t="shared" si="2"/>
        <v>2011</v>
      </c>
      <c r="F170" s="26"/>
      <c r="G170" s="5"/>
      <c r="H170" s="11"/>
      <c r="I170" s="1"/>
      <c r="J170" s="1"/>
    </row>
    <row r="171" spans="1:10">
      <c r="A171" s="16">
        <v>40575</v>
      </c>
      <c r="B171" s="25">
        <v>9.5</v>
      </c>
      <c r="C171" s="25">
        <v>4.0999999999999996</v>
      </c>
      <c r="D171" s="25">
        <v>103.6</v>
      </c>
      <c r="E171" s="24">
        <f t="shared" si="2"/>
        <v>2011</v>
      </c>
      <c r="F171" s="26"/>
      <c r="G171" s="5"/>
      <c r="H171" s="11"/>
      <c r="I171" s="1"/>
      <c r="J171" s="1"/>
    </row>
    <row r="172" spans="1:10">
      <c r="A172" s="16">
        <v>40603</v>
      </c>
      <c r="B172" s="25">
        <v>8.3000000000000007</v>
      </c>
      <c r="C172" s="25">
        <v>3.4</v>
      </c>
      <c r="D172" s="25">
        <v>104.3</v>
      </c>
      <c r="E172" s="24">
        <f t="shared" si="2"/>
        <v>2011</v>
      </c>
      <c r="F172" s="26"/>
      <c r="G172" s="5"/>
      <c r="H172" s="11"/>
      <c r="I172" s="1"/>
      <c r="J172" s="1"/>
    </row>
    <row r="173" spans="1:10">
      <c r="A173" s="16">
        <v>40634</v>
      </c>
      <c r="B173" s="25">
        <v>7.8</v>
      </c>
      <c r="C173" s="25">
        <v>1.7</v>
      </c>
      <c r="D173" s="25">
        <v>104.5</v>
      </c>
      <c r="E173" s="24">
        <f t="shared" si="2"/>
        <v>2011</v>
      </c>
      <c r="F173" s="26"/>
      <c r="G173" s="5"/>
      <c r="H173" s="11"/>
      <c r="I173" s="1"/>
      <c r="J173" s="1"/>
    </row>
    <row r="174" spans="1:10">
      <c r="A174" s="16">
        <v>40664</v>
      </c>
      <c r="B174" s="25">
        <v>7</v>
      </c>
      <c r="C174" s="25">
        <v>1.7</v>
      </c>
      <c r="D174" s="25">
        <v>105</v>
      </c>
      <c r="E174" s="24">
        <f t="shared" si="2"/>
        <v>2011</v>
      </c>
      <c r="F174" s="26"/>
      <c r="G174" s="5"/>
      <c r="H174" s="11"/>
      <c r="I174" s="1"/>
      <c r="J174" s="1"/>
    </row>
    <row r="175" spans="1:10">
      <c r="A175" s="16">
        <v>40695</v>
      </c>
      <c r="B175" s="25">
        <v>6.4</v>
      </c>
      <c r="C175" s="25">
        <v>1.6</v>
      </c>
      <c r="D175" s="25">
        <v>104.2</v>
      </c>
      <c r="E175" s="24">
        <f t="shared" si="2"/>
        <v>2011</v>
      </c>
      <c r="F175" s="26"/>
      <c r="G175" s="5"/>
      <c r="H175" s="11"/>
      <c r="I175" s="1"/>
      <c r="J175" s="1"/>
    </row>
    <row r="176" spans="1:10">
      <c r="A176" s="16">
        <v>40725</v>
      </c>
      <c r="B176" s="25">
        <v>6.6</v>
      </c>
      <c r="C176" s="25">
        <v>1.6</v>
      </c>
      <c r="D176" s="25">
        <v>104.1</v>
      </c>
      <c r="E176" s="24">
        <f t="shared" si="2"/>
        <v>2011</v>
      </c>
      <c r="F176" s="26"/>
      <c r="G176" s="5"/>
      <c r="H176" s="11"/>
      <c r="I176" s="1"/>
      <c r="J176" s="1"/>
    </row>
    <row r="177" spans="1:10">
      <c r="A177" s="16">
        <v>40756</v>
      </c>
      <c r="B177" s="25">
        <v>4.9000000000000004</v>
      </c>
      <c r="C177" s="25">
        <v>0</v>
      </c>
      <c r="D177" s="25">
        <v>104.3</v>
      </c>
      <c r="E177" s="24">
        <f t="shared" si="2"/>
        <v>2011</v>
      </c>
      <c r="F177" s="26"/>
      <c r="G177" s="5"/>
      <c r="H177" s="11"/>
      <c r="I177" s="1"/>
      <c r="J177" s="1"/>
    </row>
    <row r="178" spans="1:10">
      <c r="A178" s="16">
        <v>40787</v>
      </c>
      <c r="B178" s="25">
        <v>3.2</v>
      </c>
      <c r="C178" s="25">
        <v>-1</v>
      </c>
      <c r="D178" s="25">
        <v>103.9</v>
      </c>
      <c r="E178" s="24">
        <f t="shared" si="2"/>
        <v>2011</v>
      </c>
      <c r="F178" s="26"/>
      <c r="G178" s="5"/>
      <c r="H178" s="11"/>
      <c r="I178" s="1"/>
      <c r="J178" s="1"/>
    </row>
    <row r="179" spans="1:10">
      <c r="A179" s="16">
        <v>40817</v>
      </c>
      <c r="B179" s="25">
        <v>1.9</v>
      </c>
      <c r="C179" s="25">
        <v>-0.7</v>
      </c>
      <c r="D179" s="25">
        <v>104.3</v>
      </c>
      <c r="E179" s="24">
        <f t="shared" si="2"/>
        <v>2011</v>
      </c>
      <c r="F179" s="26"/>
      <c r="G179" s="5"/>
      <c r="H179" s="11"/>
      <c r="I179" s="1"/>
      <c r="J179" s="1"/>
    </row>
    <row r="180" spans="1:10">
      <c r="A180" s="16">
        <v>40848</v>
      </c>
      <c r="B180" s="25">
        <v>1.7</v>
      </c>
      <c r="C180" s="25">
        <v>-1.4</v>
      </c>
      <c r="D180" s="25">
        <v>104.8</v>
      </c>
      <c r="E180" s="24">
        <f t="shared" si="2"/>
        <v>2011</v>
      </c>
      <c r="F180" s="26"/>
      <c r="G180" s="5"/>
      <c r="H180" s="11"/>
      <c r="I180" s="1"/>
      <c r="J180" s="1"/>
    </row>
    <row r="181" spans="1:10">
      <c r="A181" s="16">
        <v>40878</v>
      </c>
      <c r="B181" s="25">
        <v>0.2</v>
      </c>
      <c r="C181" s="25">
        <v>-1.7</v>
      </c>
      <c r="D181" s="25">
        <v>104.6</v>
      </c>
      <c r="E181" s="24">
        <f t="shared" si="2"/>
        <v>2011</v>
      </c>
      <c r="F181" s="26"/>
      <c r="G181" s="5"/>
      <c r="H181" s="11"/>
      <c r="I181" s="1"/>
      <c r="J181" s="1"/>
    </row>
    <row r="182" spans="1:10">
      <c r="A182" s="16">
        <v>40909</v>
      </c>
      <c r="B182" s="25">
        <v>-2</v>
      </c>
      <c r="C182" s="25">
        <v>1.6</v>
      </c>
      <c r="D182" s="25">
        <v>107.9</v>
      </c>
      <c r="E182" s="24">
        <f t="shared" si="2"/>
        <v>2012</v>
      </c>
      <c r="F182" s="26"/>
      <c r="G182" s="5"/>
      <c r="H182" s="11"/>
      <c r="I182" s="2"/>
      <c r="J182" s="2"/>
    </row>
    <row r="183" spans="1:10">
      <c r="A183" s="16">
        <v>40940</v>
      </c>
      <c r="B183" s="25">
        <v>-1.6</v>
      </c>
      <c r="C183" s="25">
        <v>1</v>
      </c>
      <c r="D183" s="25">
        <v>106</v>
      </c>
      <c r="E183" s="24">
        <f t="shared" si="2"/>
        <v>2012</v>
      </c>
      <c r="F183" s="26"/>
      <c r="G183" s="5"/>
      <c r="H183" s="11"/>
      <c r="I183" s="2"/>
      <c r="J183" s="2"/>
    </row>
    <row r="184" spans="1:10">
      <c r="A184" s="16">
        <v>40969</v>
      </c>
      <c r="B184" s="25">
        <v>-1.8</v>
      </c>
      <c r="C184" s="25">
        <v>2.8</v>
      </c>
      <c r="D184" s="25">
        <v>104.4</v>
      </c>
      <c r="E184" s="24">
        <f t="shared" si="2"/>
        <v>2012</v>
      </c>
      <c r="F184" s="26"/>
      <c r="G184" s="5"/>
      <c r="H184" s="11"/>
    </row>
    <row r="185" spans="1:10">
      <c r="A185" s="16">
        <v>41000</v>
      </c>
      <c r="B185" s="25">
        <v>-1.9</v>
      </c>
      <c r="C185" s="25">
        <v>1.8</v>
      </c>
      <c r="D185" s="25">
        <v>104.4</v>
      </c>
      <c r="E185" s="24">
        <f t="shared" si="2"/>
        <v>2012</v>
      </c>
      <c r="F185" s="26"/>
      <c r="G185" s="5"/>
      <c r="H185" s="11"/>
    </row>
    <row r="186" spans="1:10">
      <c r="A186" s="16">
        <v>41030</v>
      </c>
      <c r="B186" s="25">
        <v>-3</v>
      </c>
      <c r="C186" s="25">
        <v>1.6</v>
      </c>
      <c r="D186" s="25">
        <v>105.2</v>
      </c>
      <c r="E186" s="24">
        <f t="shared" si="2"/>
        <v>2012</v>
      </c>
      <c r="F186" s="26"/>
      <c r="G186" s="5"/>
      <c r="H186" s="11"/>
    </row>
    <row r="187" spans="1:10">
      <c r="A187" s="16">
        <v>41061</v>
      </c>
      <c r="B187" s="25">
        <v>-1.7</v>
      </c>
      <c r="C187" s="25">
        <v>2.5</v>
      </c>
      <c r="D187" s="25">
        <v>104.4</v>
      </c>
      <c r="E187" s="24">
        <f t="shared" si="2"/>
        <v>2012</v>
      </c>
      <c r="F187" s="26"/>
      <c r="G187" s="5"/>
      <c r="H187" s="11"/>
    </row>
    <row r="188" spans="1:10">
      <c r="A188" s="16">
        <v>41091</v>
      </c>
      <c r="B188" s="25">
        <v>-4.4000000000000004</v>
      </c>
      <c r="C188" s="25">
        <v>-1.7</v>
      </c>
      <c r="D188" s="25">
        <v>103.6</v>
      </c>
      <c r="E188" s="24">
        <f t="shared" si="2"/>
        <v>2012</v>
      </c>
      <c r="F188" s="26"/>
      <c r="G188" s="5"/>
      <c r="H188" s="11"/>
    </row>
    <row r="189" spans="1:10">
      <c r="A189" s="16">
        <v>41122</v>
      </c>
      <c r="B189" s="23">
        <v>-5.5</v>
      </c>
      <c r="C189" s="23">
        <v>-2.9</v>
      </c>
      <c r="D189" s="25">
        <v>103</v>
      </c>
      <c r="E189" s="24">
        <f t="shared" si="2"/>
        <v>2012</v>
      </c>
      <c r="F189" s="26"/>
      <c r="G189" s="5"/>
      <c r="H189" s="11"/>
    </row>
    <row r="190" spans="1:10">
      <c r="A190" s="16">
        <v>41153</v>
      </c>
      <c r="B190" s="23">
        <v>-7.2</v>
      </c>
      <c r="C190" s="23">
        <v>-5</v>
      </c>
      <c r="D190" s="25">
        <v>101.8</v>
      </c>
      <c r="E190" s="24">
        <f t="shared" si="2"/>
        <v>2012</v>
      </c>
      <c r="F190" s="26"/>
      <c r="G190" s="5"/>
      <c r="H190" s="11"/>
    </row>
    <row r="191" spans="1:10">
      <c r="A191" s="16">
        <v>41183</v>
      </c>
      <c r="B191" s="23">
        <v>-9.3000000000000007</v>
      </c>
      <c r="C191" s="23">
        <v>-6.4</v>
      </c>
      <c r="D191" s="25">
        <v>101</v>
      </c>
      <c r="E191" s="24">
        <f t="shared" si="2"/>
        <v>2012</v>
      </c>
      <c r="F191" s="26"/>
      <c r="G191" s="5"/>
      <c r="H191" s="11"/>
    </row>
    <row r="192" spans="1:10">
      <c r="A192" s="16">
        <v>41214</v>
      </c>
      <c r="B192" s="23">
        <v>-5.9</v>
      </c>
      <c r="C192" s="23">
        <v>-3.6</v>
      </c>
      <c r="D192" s="27">
        <v>99.9</v>
      </c>
      <c r="E192" s="24">
        <f t="shared" si="2"/>
        <v>2012</v>
      </c>
      <c r="F192" s="26"/>
      <c r="G192" s="5"/>
      <c r="H192" s="11"/>
    </row>
    <row r="193" spans="1:8">
      <c r="A193" s="16">
        <v>41244</v>
      </c>
      <c r="B193" s="23">
        <v>-7.7</v>
      </c>
      <c r="C193" s="23">
        <v>-5.5</v>
      </c>
      <c r="D193" s="25">
        <v>98.9</v>
      </c>
      <c r="E193" s="24">
        <f t="shared" si="2"/>
        <v>2012</v>
      </c>
      <c r="F193" s="26"/>
      <c r="G193" s="5"/>
      <c r="H193" s="11"/>
    </row>
    <row r="194" spans="1:8">
      <c r="A194" s="16">
        <v>41275</v>
      </c>
      <c r="B194" s="23">
        <v>-6</v>
      </c>
      <c r="C194" s="23">
        <v>-3.2</v>
      </c>
      <c r="D194" s="25">
        <v>98.8</v>
      </c>
      <c r="E194" s="24">
        <f t="shared" si="2"/>
        <v>2013</v>
      </c>
      <c r="F194" s="26"/>
      <c r="G194" s="5"/>
      <c r="H194" s="11"/>
    </row>
    <row r="195" spans="1:8">
      <c r="A195" s="16">
        <v>41306</v>
      </c>
      <c r="B195" s="23">
        <v>-7.6</v>
      </c>
      <c r="C195" s="23">
        <v>-1.1000000000000001</v>
      </c>
      <c r="D195" s="25">
        <v>99.7</v>
      </c>
      <c r="E195" s="24">
        <f t="shared" ref="E195:E258" si="3">YEAR(A195)</f>
        <v>2013</v>
      </c>
      <c r="F195" s="26"/>
      <c r="G195" s="5"/>
      <c r="H195" s="11"/>
    </row>
    <row r="196" spans="1:8">
      <c r="A196" s="16">
        <v>41334</v>
      </c>
      <c r="B196" s="23">
        <v>-7.6</v>
      </c>
      <c r="C196" s="23">
        <v>-1.8</v>
      </c>
      <c r="D196" s="25">
        <v>99.3</v>
      </c>
      <c r="E196" s="24">
        <f t="shared" si="3"/>
        <v>2013</v>
      </c>
      <c r="F196" s="26"/>
      <c r="G196" s="5"/>
      <c r="H196" s="11"/>
    </row>
    <row r="197" spans="1:8">
      <c r="A197" s="16">
        <v>41365</v>
      </c>
      <c r="B197" s="23">
        <v>-8.5</v>
      </c>
      <c r="C197" s="23">
        <v>-1.5</v>
      </c>
      <c r="D197" s="25">
        <v>97.9</v>
      </c>
      <c r="E197" s="24">
        <f t="shared" si="3"/>
        <v>2013</v>
      </c>
      <c r="F197" s="26"/>
      <c r="G197" s="5"/>
      <c r="H197" s="11"/>
    </row>
    <row r="198" spans="1:8">
      <c r="A198" s="16">
        <v>41395</v>
      </c>
      <c r="B198" s="23">
        <v>-4.9000000000000004</v>
      </c>
      <c r="C198" s="23">
        <v>1.4</v>
      </c>
      <c r="D198" s="25">
        <v>97.5</v>
      </c>
      <c r="E198" s="24">
        <f t="shared" si="3"/>
        <v>2013</v>
      </c>
      <c r="F198" s="26"/>
      <c r="G198" s="5"/>
      <c r="H198" s="11"/>
    </row>
    <row r="199" spans="1:8">
      <c r="A199" s="16">
        <v>41426</v>
      </c>
      <c r="B199" s="23">
        <v>-6.2</v>
      </c>
      <c r="C199" s="23">
        <v>-0.4</v>
      </c>
      <c r="D199" s="25">
        <v>98.7</v>
      </c>
      <c r="E199" s="24">
        <f t="shared" si="3"/>
        <v>2013</v>
      </c>
      <c r="F199" s="26"/>
      <c r="G199" s="5"/>
      <c r="H199" s="11"/>
    </row>
    <row r="200" spans="1:8">
      <c r="A200" s="16">
        <v>41456</v>
      </c>
      <c r="B200" s="23">
        <v>-5.3</v>
      </c>
      <c r="C200" s="23">
        <v>0.7</v>
      </c>
      <c r="D200" s="25">
        <v>99.2</v>
      </c>
      <c r="E200" s="24">
        <f t="shared" si="3"/>
        <v>2013</v>
      </c>
      <c r="F200" s="26"/>
      <c r="G200" s="5"/>
      <c r="H200" s="11"/>
    </row>
    <row r="201" spans="1:8">
      <c r="A201" s="16">
        <v>41487</v>
      </c>
      <c r="B201" s="23">
        <v>-3.3</v>
      </c>
      <c r="C201" s="23">
        <v>2.9</v>
      </c>
      <c r="D201" s="25">
        <v>98.9</v>
      </c>
      <c r="E201" s="24">
        <f t="shared" si="3"/>
        <v>2013</v>
      </c>
      <c r="F201" s="26"/>
      <c r="G201" s="5"/>
      <c r="H201" s="11"/>
    </row>
    <row r="202" spans="1:8">
      <c r="A202" s="16">
        <v>41518</v>
      </c>
      <c r="B202" s="23">
        <v>-2.8</v>
      </c>
      <c r="C202" s="23">
        <v>4.2</v>
      </c>
      <c r="D202" s="25">
        <v>98.6</v>
      </c>
      <c r="E202" s="24">
        <f t="shared" si="3"/>
        <v>2013</v>
      </c>
      <c r="F202" s="26"/>
      <c r="G202" s="5"/>
      <c r="H202" s="11"/>
    </row>
    <row r="203" spans="1:8">
      <c r="A203" s="16">
        <v>41548</v>
      </c>
      <c r="B203" s="23">
        <v>0.3</v>
      </c>
      <c r="C203" s="23">
        <v>6.6</v>
      </c>
      <c r="D203" s="25">
        <v>98.6</v>
      </c>
      <c r="E203" s="24">
        <f t="shared" si="3"/>
        <v>2013</v>
      </c>
      <c r="F203" s="26"/>
      <c r="G203" s="5"/>
      <c r="H203" s="11"/>
    </row>
    <row r="204" spans="1:8">
      <c r="A204" s="16">
        <v>41579</v>
      </c>
      <c r="B204" s="23">
        <v>0.1</v>
      </c>
      <c r="C204" s="23">
        <v>6.6</v>
      </c>
      <c r="D204" s="27">
        <v>98.5</v>
      </c>
      <c r="E204" s="24">
        <f t="shared" si="3"/>
        <v>2013</v>
      </c>
      <c r="F204" s="26"/>
      <c r="G204" s="5"/>
      <c r="H204" s="11"/>
    </row>
    <row r="205" spans="1:8">
      <c r="A205" s="16">
        <v>41609</v>
      </c>
      <c r="B205" s="23">
        <v>0.3</v>
      </c>
      <c r="C205" s="23">
        <v>6.7</v>
      </c>
      <c r="D205" s="25">
        <v>99</v>
      </c>
      <c r="E205" s="24">
        <f t="shared" si="3"/>
        <v>2013</v>
      </c>
      <c r="F205" s="26"/>
      <c r="G205" s="5"/>
      <c r="H205" s="11"/>
    </row>
    <row r="206" spans="1:8">
      <c r="A206" s="16">
        <v>41640</v>
      </c>
      <c r="B206" s="23">
        <v>3.4</v>
      </c>
      <c r="C206" s="23">
        <v>7.2</v>
      </c>
      <c r="D206" s="25">
        <v>99</v>
      </c>
      <c r="E206" s="24">
        <f t="shared" si="3"/>
        <v>2014</v>
      </c>
      <c r="F206" s="26"/>
      <c r="G206" s="5"/>
      <c r="H206" s="11"/>
    </row>
    <row r="207" spans="1:8">
      <c r="A207" s="16">
        <v>41671</v>
      </c>
      <c r="B207" s="23">
        <v>3</v>
      </c>
      <c r="C207" s="23">
        <v>9.3000000000000007</v>
      </c>
      <c r="D207" s="25">
        <v>98.6</v>
      </c>
      <c r="E207" s="24">
        <f t="shared" si="3"/>
        <v>2014</v>
      </c>
      <c r="F207" s="26"/>
      <c r="G207" s="5"/>
      <c r="H207" s="11"/>
    </row>
    <row r="208" spans="1:8">
      <c r="A208" s="16">
        <v>41699</v>
      </c>
      <c r="B208" s="23">
        <v>4</v>
      </c>
      <c r="C208" s="23">
        <v>8.3000000000000007</v>
      </c>
      <c r="D208" s="25">
        <v>98.7</v>
      </c>
      <c r="E208" s="24">
        <f t="shared" si="3"/>
        <v>2014</v>
      </c>
      <c r="F208" s="26"/>
      <c r="G208" s="5"/>
      <c r="H208" s="11"/>
    </row>
    <row r="209" spans="1:8">
      <c r="A209" s="16">
        <v>41730</v>
      </c>
      <c r="B209" s="23">
        <v>6.6</v>
      </c>
      <c r="C209" s="23">
        <v>10.1</v>
      </c>
      <c r="D209" s="25">
        <v>99.3</v>
      </c>
      <c r="E209" s="24">
        <f t="shared" si="3"/>
        <v>2014</v>
      </c>
      <c r="F209" s="26"/>
      <c r="G209" s="5"/>
      <c r="H209" s="11"/>
    </row>
    <row r="210" spans="1:8">
      <c r="A210" s="16">
        <v>41760</v>
      </c>
      <c r="B210" s="23">
        <v>3.9</v>
      </c>
      <c r="C210" s="23">
        <v>7.3</v>
      </c>
      <c r="D210" s="25">
        <v>99</v>
      </c>
      <c r="E210" s="24">
        <f t="shared" si="3"/>
        <v>2014</v>
      </c>
      <c r="F210" s="26"/>
      <c r="G210" s="5"/>
      <c r="H210" s="11"/>
    </row>
    <row r="211" spans="1:8">
      <c r="A211" s="16">
        <v>41791</v>
      </c>
      <c r="B211" s="23">
        <v>4.8</v>
      </c>
      <c r="C211" s="23">
        <v>7.9</v>
      </c>
      <c r="D211" s="25">
        <v>98.2</v>
      </c>
      <c r="E211" s="24">
        <f t="shared" si="3"/>
        <v>2014</v>
      </c>
      <c r="F211" s="26"/>
      <c r="G211" s="5"/>
      <c r="H211" s="11"/>
    </row>
    <row r="212" spans="1:8">
      <c r="A212" s="16">
        <v>41821</v>
      </c>
      <c r="B212" s="23">
        <v>4</v>
      </c>
      <c r="C212" s="23">
        <v>6.2</v>
      </c>
      <c r="D212" s="25">
        <v>97.9</v>
      </c>
      <c r="E212" s="24">
        <f t="shared" si="3"/>
        <v>2014</v>
      </c>
      <c r="F212" s="26"/>
      <c r="G212" s="5"/>
      <c r="H212" s="11"/>
    </row>
    <row r="213" spans="1:8">
      <c r="A213" s="16">
        <v>41852</v>
      </c>
      <c r="B213" s="23">
        <v>2.9</v>
      </c>
      <c r="C213" s="23">
        <v>4.3</v>
      </c>
      <c r="D213" s="25">
        <v>98.5</v>
      </c>
      <c r="E213" s="24">
        <f t="shared" si="3"/>
        <v>2014</v>
      </c>
      <c r="F213" s="26"/>
      <c r="G213" s="5"/>
      <c r="H213" s="11"/>
    </row>
    <row r="214" spans="1:8">
      <c r="A214" s="16">
        <v>41883</v>
      </c>
      <c r="B214" s="23">
        <v>2.4</v>
      </c>
      <c r="C214" s="23">
        <v>3.9</v>
      </c>
      <c r="D214" s="27">
        <v>98.4</v>
      </c>
      <c r="E214" s="24">
        <f t="shared" si="3"/>
        <v>2014</v>
      </c>
      <c r="F214" s="26"/>
      <c r="G214" s="5"/>
      <c r="H214" s="11"/>
    </row>
    <row r="215" spans="1:8">
      <c r="A215" s="16">
        <v>41913</v>
      </c>
      <c r="B215" s="23">
        <v>2.8</v>
      </c>
      <c r="C215" s="23">
        <v>5.4</v>
      </c>
      <c r="D215" s="25">
        <v>98.7</v>
      </c>
      <c r="E215" s="24">
        <f t="shared" si="3"/>
        <v>2014</v>
      </c>
      <c r="F215" s="26"/>
      <c r="G215" s="5"/>
      <c r="H215" s="11"/>
    </row>
    <row r="216" spans="1:8">
      <c r="A216" s="16">
        <v>41944</v>
      </c>
      <c r="B216" s="23">
        <v>5.2</v>
      </c>
      <c r="C216" s="23">
        <v>7.7</v>
      </c>
      <c r="D216" s="27">
        <v>98.4</v>
      </c>
      <c r="E216" s="24">
        <f t="shared" si="3"/>
        <v>2014</v>
      </c>
      <c r="F216" s="26"/>
      <c r="G216" s="5"/>
      <c r="H216" s="11"/>
    </row>
    <row r="217" spans="1:8">
      <c r="A217" s="16">
        <v>41974</v>
      </c>
      <c r="B217" s="23">
        <v>3.4</v>
      </c>
      <c r="C217" s="23">
        <v>6.9</v>
      </c>
      <c r="D217" s="23">
        <v>97.3</v>
      </c>
      <c r="E217" s="24">
        <f t="shared" si="3"/>
        <v>2014</v>
      </c>
      <c r="F217" s="26"/>
      <c r="G217" s="5"/>
      <c r="H217" s="11"/>
    </row>
    <row r="218" spans="1:8">
      <c r="A218" s="16">
        <v>42005</v>
      </c>
      <c r="B218" s="23">
        <v>0.2</v>
      </c>
      <c r="C218" s="23">
        <v>3.7</v>
      </c>
      <c r="D218" s="23">
        <v>96.7</v>
      </c>
      <c r="E218" s="24">
        <f t="shared" si="3"/>
        <v>2015</v>
      </c>
      <c r="F218" s="26"/>
      <c r="G218" s="5"/>
      <c r="H218" s="11"/>
    </row>
    <row r="219" spans="1:8">
      <c r="A219" s="16">
        <v>42036</v>
      </c>
      <c r="B219" s="23">
        <v>8.1</v>
      </c>
      <c r="C219" s="23">
        <v>-1.2</v>
      </c>
      <c r="D219" s="23">
        <v>96.6</v>
      </c>
      <c r="E219" s="24">
        <f t="shared" si="3"/>
        <v>2015</v>
      </c>
      <c r="F219" s="26"/>
      <c r="G219" s="5"/>
      <c r="H219" s="11"/>
    </row>
    <row r="220" spans="1:8">
      <c r="A220" s="16">
        <v>42064</v>
      </c>
      <c r="B220" s="23">
        <v>13.8</v>
      </c>
      <c r="C220" s="23">
        <v>-1.3</v>
      </c>
      <c r="D220" s="23">
        <v>96.8</v>
      </c>
      <c r="E220" s="24">
        <f t="shared" si="3"/>
        <v>2015</v>
      </c>
      <c r="F220" s="26"/>
      <c r="G220" s="5"/>
      <c r="H220" s="11"/>
    </row>
    <row r="221" spans="1:8">
      <c r="A221" s="16">
        <v>42095</v>
      </c>
      <c r="B221" s="23">
        <v>15.2</v>
      </c>
      <c r="C221" s="23">
        <v>1.2</v>
      </c>
      <c r="D221" s="23">
        <v>96.6</v>
      </c>
      <c r="E221" s="24">
        <f t="shared" si="3"/>
        <v>2015</v>
      </c>
      <c r="F221" s="26"/>
      <c r="G221" s="5"/>
      <c r="H221" s="11"/>
    </row>
    <row r="222" spans="1:8">
      <c r="A222" s="16">
        <v>42125</v>
      </c>
      <c r="B222" s="23">
        <v>12.6</v>
      </c>
      <c r="C222" s="23">
        <v>2.2999999999999998</v>
      </c>
      <c r="D222" s="23">
        <v>97.3</v>
      </c>
      <c r="E222" s="24">
        <f t="shared" si="3"/>
        <v>2015</v>
      </c>
      <c r="F222" s="26"/>
      <c r="G222" s="5"/>
      <c r="H222" s="11"/>
    </row>
    <row r="223" spans="1:8">
      <c r="A223" s="16">
        <v>42156</v>
      </c>
      <c r="B223" s="23">
        <v>8.9</v>
      </c>
      <c r="C223" s="23">
        <v>3.3</v>
      </c>
      <c r="D223" s="23">
        <v>98.1</v>
      </c>
      <c r="E223" s="24">
        <f t="shared" si="3"/>
        <v>2015</v>
      </c>
      <c r="F223" s="26"/>
      <c r="G223" s="5"/>
      <c r="H223" s="11"/>
    </row>
    <row r="224" spans="1:8">
      <c r="A224" s="16">
        <v>42186</v>
      </c>
      <c r="B224" s="23">
        <v>7.7</v>
      </c>
      <c r="C224" s="23">
        <v>3.9</v>
      </c>
      <c r="D224" s="23">
        <v>98</v>
      </c>
      <c r="E224" s="24">
        <f t="shared" si="3"/>
        <v>2015</v>
      </c>
      <c r="F224" s="26"/>
      <c r="G224" s="5"/>
      <c r="H224" s="11"/>
    </row>
    <row r="225" spans="1:8">
      <c r="A225" s="16">
        <v>42217</v>
      </c>
      <c r="B225" s="23">
        <v>9.6</v>
      </c>
      <c r="C225" s="23">
        <v>4.5999999999999996</v>
      </c>
      <c r="D225" s="23">
        <v>96.9</v>
      </c>
      <c r="E225" s="24">
        <f t="shared" si="3"/>
        <v>2015</v>
      </c>
      <c r="F225" s="26"/>
      <c r="G225" s="5"/>
      <c r="H225" s="11"/>
    </row>
    <row r="226" spans="1:8">
      <c r="A226" s="16">
        <v>42248</v>
      </c>
      <c r="B226" s="23">
        <v>4.4000000000000004</v>
      </c>
      <c r="C226" s="23">
        <v>2</v>
      </c>
      <c r="D226" s="23">
        <v>96.9</v>
      </c>
      <c r="E226" s="24">
        <f t="shared" si="3"/>
        <v>2015</v>
      </c>
      <c r="F226" s="26"/>
      <c r="G226" s="5"/>
      <c r="H226" s="11"/>
    </row>
    <row r="227" spans="1:8">
      <c r="A227" s="16">
        <v>42278</v>
      </c>
      <c r="B227" s="23">
        <v>1.7</v>
      </c>
      <c r="C227" s="23">
        <v>4.2</v>
      </c>
      <c r="D227" s="23">
        <v>97.5</v>
      </c>
      <c r="E227" s="24">
        <f t="shared" si="3"/>
        <v>2015</v>
      </c>
      <c r="F227" s="26"/>
      <c r="G227" s="5"/>
      <c r="H227" s="11"/>
    </row>
    <row r="228" spans="1:8">
      <c r="A228" s="16">
        <v>42309</v>
      </c>
      <c r="B228" s="23">
        <v>0.2</v>
      </c>
      <c r="C228" s="23">
        <v>4.8</v>
      </c>
      <c r="D228" s="23">
        <v>98.1</v>
      </c>
      <c r="E228" s="24">
        <f t="shared" si="3"/>
        <v>2015</v>
      </c>
      <c r="F228" s="26"/>
      <c r="G228" s="5"/>
      <c r="H228" s="11"/>
    </row>
    <row r="229" spans="1:8">
      <c r="A229" s="16">
        <v>42339</v>
      </c>
      <c r="B229" s="23">
        <v>-4.7</v>
      </c>
      <c r="C229" s="23">
        <v>2.5</v>
      </c>
      <c r="D229" s="23">
        <v>99.3</v>
      </c>
      <c r="E229" s="24">
        <f t="shared" si="3"/>
        <v>2015</v>
      </c>
      <c r="F229" s="24"/>
      <c r="G229" s="5"/>
      <c r="H229" s="11"/>
    </row>
    <row r="230" spans="1:8">
      <c r="A230" s="16">
        <v>42370</v>
      </c>
      <c r="B230" s="23">
        <v>-1.5</v>
      </c>
      <c r="C230" s="23">
        <v>3</v>
      </c>
      <c r="D230" s="23">
        <v>99.2</v>
      </c>
      <c r="E230" s="24">
        <f t="shared" si="3"/>
        <v>2016</v>
      </c>
      <c r="F230" s="24"/>
      <c r="G230" s="5"/>
      <c r="H230" s="11"/>
    </row>
    <row r="231" spans="1:8">
      <c r="A231" s="16">
        <v>42401</v>
      </c>
      <c r="B231" s="23">
        <v>7.1</v>
      </c>
      <c r="C231" s="23">
        <v>-1.2</v>
      </c>
      <c r="D231" s="23">
        <v>98.9</v>
      </c>
      <c r="E231" s="24">
        <f t="shared" si="3"/>
        <v>2016</v>
      </c>
      <c r="F231" s="24"/>
      <c r="G231" s="5"/>
      <c r="H231" s="11"/>
    </row>
    <row r="232" spans="1:8">
      <c r="A232" s="16">
        <v>42430</v>
      </c>
      <c r="B232" s="23">
        <v>9.1</v>
      </c>
      <c r="C232" s="23">
        <v>0.7</v>
      </c>
      <c r="D232" s="23">
        <v>98.5</v>
      </c>
      <c r="E232" s="24">
        <f t="shared" si="3"/>
        <v>2016</v>
      </c>
      <c r="F232" s="24"/>
      <c r="G232" s="5"/>
      <c r="H232" s="11"/>
    </row>
    <row r="233" spans="1:8">
      <c r="A233" s="16">
        <v>42461</v>
      </c>
      <c r="B233" s="23">
        <v>10.7</v>
      </c>
      <c r="C233" s="23">
        <v>0.1</v>
      </c>
      <c r="D233" s="23">
        <v>99.4</v>
      </c>
      <c r="E233" s="24">
        <f t="shared" si="3"/>
        <v>2016</v>
      </c>
      <c r="F233" s="24"/>
      <c r="G233" s="5"/>
      <c r="H233" s="11"/>
    </row>
    <row r="234" spans="1:8">
      <c r="A234" s="16">
        <v>42491</v>
      </c>
      <c r="B234" s="23">
        <v>8.4</v>
      </c>
      <c r="C234" s="23">
        <v>1.5</v>
      </c>
      <c r="D234" s="23">
        <v>100.2</v>
      </c>
      <c r="E234" s="24">
        <f t="shared" si="3"/>
        <v>2016</v>
      </c>
      <c r="F234" s="24"/>
      <c r="G234" s="5"/>
      <c r="H234" s="11"/>
    </row>
    <row r="235" spans="1:8">
      <c r="A235" s="16">
        <v>42522</v>
      </c>
      <c r="B235" s="23">
        <v>7.5</v>
      </c>
      <c r="C235" s="23">
        <v>2.8</v>
      </c>
      <c r="D235" s="23">
        <v>99.6</v>
      </c>
      <c r="E235" s="24">
        <f t="shared" si="3"/>
        <v>2016</v>
      </c>
      <c r="F235" s="24"/>
      <c r="G235" s="5"/>
      <c r="H235" s="11"/>
    </row>
    <row r="236" spans="1:8">
      <c r="A236" s="16">
        <v>42552</v>
      </c>
      <c r="B236" s="23">
        <v>4.5</v>
      </c>
      <c r="C236" s="23">
        <v>1.7</v>
      </c>
      <c r="D236" s="23">
        <v>99.8</v>
      </c>
      <c r="E236" s="24">
        <f t="shared" si="3"/>
        <v>2016</v>
      </c>
      <c r="F236" s="24"/>
      <c r="G236" s="5"/>
      <c r="H236" s="11"/>
    </row>
    <row r="237" spans="1:8">
      <c r="A237" s="16">
        <v>42583</v>
      </c>
      <c r="B237" s="23">
        <v>5</v>
      </c>
      <c r="C237" s="23">
        <v>4.5</v>
      </c>
      <c r="D237" s="23">
        <v>100.1</v>
      </c>
      <c r="E237" s="24">
        <f t="shared" si="3"/>
        <v>2016</v>
      </c>
      <c r="F237" s="24"/>
      <c r="G237" s="5"/>
      <c r="H237" s="11"/>
    </row>
    <row r="238" spans="1:8">
      <c r="A238" s="16">
        <v>42614</v>
      </c>
      <c r="B238" s="23">
        <v>3.8</v>
      </c>
      <c r="C238" s="23">
        <v>2.8</v>
      </c>
      <c r="D238" s="23">
        <v>100.5</v>
      </c>
      <c r="E238" s="24">
        <f t="shared" si="3"/>
        <v>2016</v>
      </c>
      <c r="F238" s="24"/>
      <c r="G238" s="5"/>
      <c r="H238" s="11"/>
    </row>
    <row r="239" spans="1:8">
      <c r="A239" s="16">
        <v>42644</v>
      </c>
      <c r="B239" s="23">
        <v>-0.4</v>
      </c>
      <c r="C239" s="23">
        <v>2.4</v>
      </c>
      <c r="D239" s="23">
        <v>100.9</v>
      </c>
      <c r="E239" s="24">
        <f t="shared" si="3"/>
        <v>2016</v>
      </c>
      <c r="F239" s="24"/>
      <c r="G239" s="5"/>
      <c r="H239" s="11"/>
    </row>
    <row r="240" spans="1:8">
      <c r="A240" s="16">
        <v>42675</v>
      </c>
      <c r="B240" s="23">
        <v>-3.9</v>
      </c>
      <c r="C240" s="23">
        <v>0.4</v>
      </c>
      <c r="D240" s="23">
        <v>101.5</v>
      </c>
      <c r="E240" s="24">
        <f t="shared" si="3"/>
        <v>2016</v>
      </c>
      <c r="F240" s="24"/>
      <c r="G240" s="5"/>
      <c r="H240" s="11"/>
    </row>
    <row r="241" spans="1:8">
      <c r="A241" s="16">
        <v>42705</v>
      </c>
      <c r="B241" s="23">
        <v>-6.7</v>
      </c>
      <c r="C241" s="23">
        <v>1.5</v>
      </c>
      <c r="D241" s="23">
        <v>102.8</v>
      </c>
      <c r="E241" s="24">
        <f t="shared" si="3"/>
        <v>2016</v>
      </c>
      <c r="F241" s="24"/>
      <c r="G241" s="5"/>
      <c r="H241" s="11"/>
    </row>
    <row r="242" spans="1:8">
      <c r="A242" s="16">
        <v>42736</v>
      </c>
      <c r="B242" s="23">
        <v>2.2000000000000002</v>
      </c>
      <c r="C242" s="23">
        <v>3.1</v>
      </c>
      <c r="D242" s="23">
        <v>103.3</v>
      </c>
      <c r="E242" s="24">
        <f t="shared" si="3"/>
        <v>2017</v>
      </c>
      <c r="F242" s="24"/>
      <c r="G242" s="5"/>
      <c r="H242" s="11"/>
    </row>
    <row r="243" spans="1:8">
      <c r="A243" s="16">
        <v>42767</v>
      </c>
      <c r="B243" s="23">
        <v>8</v>
      </c>
      <c r="C243" s="23">
        <v>0.9</v>
      </c>
      <c r="D243" s="23">
        <v>103.9</v>
      </c>
      <c r="E243" s="24">
        <f t="shared" si="3"/>
        <v>2017</v>
      </c>
      <c r="F243" s="24"/>
      <c r="G243" s="5"/>
      <c r="H243" s="11"/>
    </row>
    <row r="244" spans="1:8">
      <c r="A244" s="16">
        <v>42795</v>
      </c>
      <c r="B244" s="23">
        <v>12.1</v>
      </c>
      <c r="C244" s="23">
        <v>0.6</v>
      </c>
      <c r="D244" s="23">
        <v>104.2</v>
      </c>
      <c r="E244" s="24">
        <f t="shared" si="3"/>
        <v>2017</v>
      </c>
      <c r="F244" s="24"/>
      <c r="G244" s="5"/>
      <c r="H244" s="11"/>
    </row>
    <row r="245" spans="1:8">
      <c r="A245" s="16">
        <v>42826</v>
      </c>
      <c r="B245" s="23">
        <v>15.6</v>
      </c>
      <c r="C245" s="23">
        <v>3.5</v>
      </c>
      <c r="D245" s="23">
        <v>103.6</v>
      </c>
      <c r="E245" s="24">
        <f t="shared" si="3"/>
        <v>2017</v>
      </c>
      <c r="F245" s="24"/>
      <c r="G245" s="5"/>
      <c r="H245" s="11"/>
    </row>
    <row r="246" spans="1:8">
      <c r="A246" s="16">
        <v>42856</v>
      </c>
      <c r="B246" s="23">
        <v>13.3</v>
      </c>
      <c r="C246" s="23">
        <v>2.8</v>
      </c>
      <c r="D246" s="23">
        <v>101.6</v>
      </c>
      <c r="E246" s="24">
        <f t="shared" si="3"/>
        <v>2017</v>
      </c>
      <c r="F246" s="24"/>
      <c r="G246" s="5"/>
      <c r="H246" s="11"/>
    </row>
    <row r="247" spans="1:8">
      <c r="A247" s="16">
        <v>42887</v>
      </c>
      <c r="B247" s="23">
        <v>11.2</v>
      </c>
      <c r="C247" s="23">
        <v>3.7</v>
      </c>
      <c r="D247" s="23">
        <v>101.2</v>
      </c>
      <c r="E247" s="24">
        <f t="shared" si="3"/>
        <v>2017</v>
      </c>
      <c r="F247" s="24"/>
      <c r="G247" s="5"/>
      <c r="H247" s="11"/>
    </row>
    <row r="248" spans="1:8">
      <c r="A248" s="16">
        <v>42917</v>
      </c>
      <c r="B248" s="23">
        <v>9.8000000000000007</v>
      </c>
      <c r="C248" s="23">
        <v>5</v>
      </c>
      <c r="D248" s="23">
        <v>101.6</v>
      </c>
      <c r="E248" s="24">
        <f t="shared" si="3"/>
        <v>2017</v>
      </c>
      <c r="F248" s="24"/>
      <c r="G248" s="5"/>
      <c r="H248" s="11"/>
    </row>
    <row r="249" spans="1:8">
      <c r="A249" s="16">
        <v>42948</v>
      </c>
      <c r="B249" s="23">
        <v>10.1</v>
      </c>
      <c r="C249" s="23">
        <v>4.5999999999999996</v>
      </c>
      <c r="D249" s="23">
        <v>102.6</v>
      </c>
      <c r="E249" s="24">
        <f t="shared" si="3"/>
        <v>2017</v>
      </c>
      <c r="F249" s="24"/>
      <c r="G249" s="5"/>
      <c r="H249" s="11"/>
    </row>
    <row r="250" spans="1:8">
      <c r="A250" s="16">
        <v>42979</v>
      </c>
      <c r="B250" s="23">
        <v>8.9</v>
      </c>
      <c r="C250" s="23">
        <v>3.7</v>
      </c>
      <c r="D250" s="23">
        <v>102.7</v>
      </c>
      <c r="E250" s="24">
        <f t="shared" si="3"/>
        <v>2017</v>
      </c>
      <c r="F250" s="24"/>
      <c r="G250" s="5"/>
      <c r="H250" s="11"/>
    </row>
    <row r="251" spans="1:8">
      <c r="A251" s="16">
        <v>43009</v>
      </c>
      <c r="B251" s="23">
        <v>5.2</v>
      </c>
      <c r="C251" s="23">
        <v>3.9</v>
      </c>
      <c r="D251" s="23">
        <v>102.4</v>
      </c>
      <c r="E251" s="24">
        <f t="shared" si="3"/>
        <v>2017</v>
      </c>
      <c r="F251" s="24"/>
      <c r="G251" s="5"/>
      <c r="H251" s="11"/>
    </row>
    <row r="252" spans="1:8">
      <c r="A252" s="16">
        <v>43040</v>
      </c>
      <c r="B252" s="23">
        <v>3.4</v>
      </c>
      <c r="C252" s="23">
        <v>5.7</v>
      </c>
      <c r="D252" s="23">
        <v>101.8</v>
      </c>
      <c r="E252" s="24">
        <f t="shared" si="3"/>
        <v>2017</v>
      </c>
      <c r="F252" s="24"/>
      <c r="G252" s="5"/>
      <c r="H252" s="11"/>
    </row>
    <row r="253" spans="1:8">
      <c r="A253" s="16">
        <v>43070</v>
      </c>
      <c r="B253" s="23">
        <v>1.9</v>
      </c>
      <c r="C253" s="23">
        <v>5</v>
      </c>
      <c r="D253" s="23">
        <v>100.4</v>
      </c>
      <c r="E253" s="24">
        <f t="shared" si="3"/>
        <v>2017</v>
      </c>
      <c r="F253" s="24"/>
      <c r="G253" s="5"/>
      <c r="H253" s="11"/>
    </row>
    <row r="254" spans="1:8">
      <c r="A254" s="16">
        <v>43101</v>
      </c>
      <c r="B254" s="23">
        <v>11.8</v>
      </c>
      <c r="C254" s="23">
        <v>21.1</v>
      </c>
      <c r="D254" s="23">
        <v>100.2</v>
      </c>
      <c r="E254" s="24">
        <f t="shared" si="3"/>
        <v>2018</v>
      </c>
      <c r="F254" s="24"/>
      <c r="G254" s="5"/>
      <c r="H254" s="11"/>
    </row>
    <row r="255" spans="1:8">
      <c r="A255" s="16">
        <v>43132</v>
      </c>
      <c r="B255" s="23">
        <v>15.2</v>
      </c>
      <c r="C255" s="23">
        <v>17.100000000000001</v>
      </c>
      <c r="D255" s="23">
        <v>100</v>
      </c>
      <c r="E255" s="24">
        <f t="shared" si="3"/>
        <v>2018</v>
      </c>
      <c r="F255" s="24"/>
      <c r="G255" s="5"/>
      <c r="H255" s="11"/>
    </row>
    <row r="256" spans="1:8">
      <c r="A256" s="16">
        <v>43160</v>
      </c>
      <c r="B256" s="23">
        <v>19.600000000000001</v>
      </c>
      <c r="C256" s="23">
        <v>17.8</v>
      </c>
      <c r="D256" s="23">
        <v>100.6</v>
      </c>
      <c r="E256" s="24">
        <f t="shared" si="3"/>
        <v>2018</v>
      </c>
      <c r="F256" s="24"/>
      <c r="G256" s="5"/>
      <c r="H256" s="11"/>
    </row>
    <row r="257" spans="1:10">
      <c r="A257" s="16">
        <v>43191</v>
      </c>
      <c r="B257" s="23">
        <v>17.899999999999999</v>
      </c>
      <c r="C257" s="23">
        <v>15.6</v>
      </c>
      <c r="D257" s="23">
        <v>101.1</v>
      </c>
      <c r="E257" s="24">
        <f t="shared" si="3"/>
        <v>2018</v>
      </c>
      <c r="F257" s="24"/>
      <c r="G257" s="5"/>
      <c r="H257" s="11"/>
    </row>
    <row r="258" spans="1:10">
      <c r="A258" s="16">
        <v>43221</v>
      </c>
      <c r="B258" s="23">
        <v>16.399999999999999</v>
      </c>
      <c r="C258" s="23">
        <v>14.9</v>
      </c>
      <c r="D258" s="23">
        <v>103.1</v>
      </c>
      <c r="E258" s="24">
        <f t="shared" si="3"/>
        <v>2018</v>
      </c>
      <c r="F258" s="24"/>
      <c r="G258" s="5"/>
      <c r="H258" s="11"/>
    </row>
    <row r="259" spans="1:10">
      <c r="A259" s="16">
        <v>43252</v>
      </c>
      <c r="B259" s="23">
        <v>14.3</v>
      </c>
      <c r="C259" s="23">
        <v>12.2</v>
      </c>
      <c r="D259" s="23">
        <v>103.7</v>
      </c>
      <c r="E259" s="24">
        <f t="shared" ref="E259:E322" si="4">YEAR(A259)</f>
        <v>2018</v>
      </c>
      <c r="F259" s="24"/>
      <c r="G259" s="5"/>
      <c r="H259" s="11"/>
    </row>
    <row r="260" spans="1:10">
      <c r="A260" s="16">
        <v>43282</v>
      </c>
      <c r="B260" s="23">
        <v>12.7</v>
      </c>
      <c r="C260" s="23">
        <v>11.5</v>
      </c>
      <c r="D260" s="23">
        <v>103.7</v>
      </c>
      <c r="E260" s="24">
        <f t="shared" si="4"/>
        <v>2018</v>
      </c>
      <c r="F260" s="24"/>
      <c r="G260" s="5"/>
      <c r="H260" s="11"/>
      <c r="I260" s="14"/>
      <c r="J260" s="14"/>
    </row>
    <row r="261" spans="1:10">
      <c r="A261" s="16">
        <v>43313</v>
      </c>
      <c r="B261" s="23">
        <v>10.7</v>
      </c>
      <c r="C261" s="23">
        <v>9.1</v>
      </c>
      <c r="D261" s="23">
        <v>103.2</v>
      </c>
      <c r="E261" s="24">
        <f t="shared" si="4"/>
        <v>2018</v>
      </c>
      <c r="F261" s="24"/>
      <c r="G261" s="5"/>
      <c r="H261" s="11"/>
      <c r="I261" s="14"/>
      <c r="J261" s="14"/>
    </row>
    <row r="262" spans="1:10">
      <c r="A262" s="16">
        <v>43344</v>
      </c>
      <c r="B262" s="23">
        <v>8.9</v>
      </c>
      <c r="C262" s="23">
        <v>8.6999999999999993</v>
      </c>
      <c r="D262" s="23">
        <v>103.1</v>
      </c>
      <c r="E262" s="24">
        <f t="shared" si="4"/>
        <v>2018</v>
      </c>
      <c r="F262" s="24"/>
      <c r="G262" s="5"/>
      <c r="H262" s="11"/>
      <c r="I262" s="14"/>
      <c r="J262" s="14"/>
    </row>
    <row r="263" spans="1:10">
      <c r="A263" s="16">
        <v>43374</v>
      </c>
      <c r="B263" s="23">
        <v>2.2000000000000002</v>
      </c>
      <c r="C263" s="23">
        <v>7.3</v>
      </c>
      <c r="D263" s="23">
        <v>103.1</v>
      </c>
      <c r="E263" s="24">
        <f t="shared" si="4"/>
        <v>2018</v>
      </c>
      <c r="F263" s="24"/>
      <c r="G263" s="5"/>
      <c r="H263" s="11"/>
      <c r="I263" s="14"/>
      <c r="J263" s="14"/>
    </row>
    <row r="264" spans="1:10">
      <c r="A264" s="16">
        <v>43405</v>
      </c>
      <c r="B264" s="23">
        <v>1.9</v>
      </c>
      <c r="C264" s="23">
        <v>10.3</v>
      </c>
      <c r="D264" s="23">
        <v>103.4</v>
      </c>
      <c r="E264" s="24">
        <f t="shared" si="4"/>
        <v>2018</v>
      </c>
      <c r="F264" s="24"/>
      <c r="G264" s="5"/>
      <c r="H264" s="11"/>
      <c r="I264" s="14"/>
      <c r="J264" s="14"/>
    </row>
    <row r="265" spans="1:10">
      <c r="A265" s="16">
        <v>43435</v>
      </c>
      <c r="B265" s="23">
        <v>-0.5</v>
      </c>
      <c r="C265" s="23">
        <v>11.1</v>
      </c>
      <c r="D265" s="23">
        <v>102.8</v>
      </c>
      <c r="E265" s="24">
        <f t="shared" si="4"/>
        <v>2018</v>
      </c>
      <c r="F265" s="24"/>
      <c r="G265" s="5"/>
      <c r="H265" s="11"/>
      <c r="I265" s="14"/>
      <c r="J265" s="14"/>
    </row>
    <row r="266" spans="1:10">
      <c r="A266" s="16">
        <v>43466</v>
      </c>
      <c r="B266" s="23">
        <v>1</v>
      </c>
      <c r="C266" s="23">
        <v>11.8</v>
      </c>
      <c r="D266" s="23">
        <v>102.1</v>
      </c>
      <c r="E266" s="24">
        <f t="shared" si="4"/>
        <v>2019</v>
      </c>
      <c r="F266" s="24"/>
      <c r="G266" s="5"/>
      <c r="H266" s="11"/>
      <c r="I266" s="14"/>
      <c r="J266" s="14"/>
    </row>
    <row r="267" spans="1:10">
      <c r="A267" s="16">
        <v>43497</v>
      </c>
      <c r="B267" s="23">
        <v>6.1</v>
      </c>
      <c r="C267" s="23">
        <v>8.4</v>
      </c>
      <c r="D267" s="23">
        <v>102</v>
      </c>
      <c r="E267" s="24">
        <f t="shared" si="4"/>
        <v>2019</v>
      </c>
      <c r="F267" s="24"/>
      <c r="G267" s="5"/>
      <c r="H267" s="11"/>
      <c r="I267" s="14"/>
      <c r="J267" s="14"/>
    </row>
    <row r="268" spans="1:10">
      <c r="A268" s="16">
        <v>43525</v>
      </c>
      <c r="B268" s="23">
        <v>9.8000000000000007</v>
      </c>
      <c r="C268" s="23">
        <v>3.7</v>
      </c>
      <c r="D268" s="23">
        <v>102.6</v>
      </c>
      <c r="E268" s="24">
        <f t="shared" si="4"/>
        <v>2019</v>
      </c>
      <c r="F268" s="24"/>
      <c r="G268" s="5"/>
      <c r="H268" s="11"/>
      <c r="I268" s="14"/>
      <c r="J268" s="14"/>
    </row>
    <row r="269" spans="1:10">
      <c r="A269" s="16">
        <v>43556</v>
      </c>
      <c r="B269" s="23">
        <v>11.4</v>
      </c>
      <c r="C269" s="23">
        <v>4.5</v>
      </c>
      <c r="D269" s="23">
        <v>102.1</v>
      </c>
      <c r="E269" s="24">
        <f t="shared" si="4"/>
        <v>2019</v>
      </c>
      <c r="F269" s="24"/>
      <c r="G269" s="5"/>
      <c r="H269" s="11"/>
      <c r="I269" s="14"/>
      <c r="J269" s="14"/>
    </row>
    <row r="270" spans="1:10">
      <c r="A270" s="16">
        <v>43586</v>
      </c>
      <c r="B270" s="23">
        <v>6.3</v>
      </c>
      <c r="C270" s="23">
        <v>6.1</v>
      </c>
      <c r="D270" s="23">
        <v>102.2</v>
      </c>
      <c r="E270" s="24">
        <f t="shared" si="4"/>
        <v>2019</v>
      </c>
      <c r="F270" s="24"/>
      <c r="G270" s="5"/>
      <c r="H270" s="11"/>
      <c r="I270" s="14"/>
      <c r="J270" s="14"/>
    </row>
    <row r="271" spans="1:10">
      <c r="A271" s="16">
        <v>43617</v>
      </c>
      <c r="B271" s="23">
        <v>6.1</v>
      </c>
      <c r="C271" s="23">
        <v>4.2</v>
      </c>
      <c r="D271" s="23">
        <v>101.1</v>
      </c>
      <c r="E271" s="24">
        <f t="shared" si="4"/>
        <v>2019</v>
      </c>
      <c r="F271" s="24"/>
      <c r="G271" s="5"/>
      <c r="H271" s="11"/>
      <c r="I271" s="14"/>
      <c r="J271" s="14"/>
    </row>
    <row r="272" spans="1:10">
      <c r="A272" s="16">
        <v>43647</v>
      </c>
      <c r="B272" s="23">
        <v>4.4000000000000004</v>
      </c>
      <c r="C272" s="23">
        <v>3.8</v>
      </c>
      <c r="D272" s="23">
        <v>100.2</v>
      </c>
      <c r="E272" s="24">
        <f t="shared" si="4"/>
        <v>2019</v>
      </c>
      <c r="F272" s="24"/>
      <c r="G272" s="5"/>
      <c r="H272" s="11"/>
      <c r="I272" s="14"/>
      <c r="J272" s="14"/>
    </row>
    <row r="273" spans="1:11">
      <c r="A273" s="16">
        <v>43678</v>
      </c>
      <c r="B273" s="23">
        <v>4.5</v>
      </c>
      <c r="C273" s="23">
        <v>4.0999999999999996</v>
      </c>
      <c r="D273" s="23">
        <v>100</v>
      </c>
      <c r="E273" s="24">
        <f t="shared" si="4"/>
        <v>2019</v>
      </c>
      <c r="F273" s="24"/>
      <c r="G273" s="5"/>
      <c r="H273" s="11"/>
      <c r="I273" s="14"/>
      <c r="J273" s="14"/>
    </row>
    <row r="274" spans="1:11">
      <c r="A274" s="16">
        <v>43709</v>
      </c>
      <c r="B274" s="23">
        <v>0.5</v>
      </c>
      <c r="C274" s="23">
        <v>-0.1</v>
      </c>
      <c r="D274" s="23">
        <v>100.4</v>
      </c>
      <c r="E274" s="24">
        <f t="shared" si="4"/>
        <v>2019</v>
      </c>
      <c r="F274" s="24"/>
      <c r="G274" s="5"/>
      <c r="H274" s="11"/>
      <c r="I274" s="14"/>
      <c r="J274" s="14"/>
    </row>
    <row r="275" spans="1:11">
      <c r="A275" s="16">
        <v>43739</v>
      </c>
      <c r="B275" s="23">
        <v>-4.5</v>
      </c>
      <c r="C275" s="23">
        <v>0.8</v>
      </c>
      <c r="D275" s="23">
        <v>100.3</v>
      </c>
      <c r="E275" s="24">
        <f t="shared" si="4"/>
        <v>2019</v>
      </c>
      <c r="F275" s="24"/>
      <c r="G275" s="5"/>
      <c r="H275" s="11"/>
      <c r="I275" s="14"/>
      <c r="J275" s="14"/>
    </row>
    <row r="276" spans="1:11">
      <c r="A276" s="16">
        <v>43770</v>
      </c>
      <c r="B276" s="23">
        <v>-7.2</v>
      </c>
      <c r="C276" s="23">
        <v>0.7</v>
      </c>
      <c r="D276" s="23">
        <v>99.2</v>
      </c>
      <c r="E276" s="24">
        <f t="shared" si="4"/>
        <v>2019</v>
      </c>
      <c r="F276" s="24"/>
      <c r="G276" s="5"/>
      <c r="H276" s="11"/>
      <c r="I276" s="14"/>
      <c r="J276" s="14"/>
    </row>
    <row r="277" spans="1:11">
      <c r="A277" s="16">
        <v>43800</v>
      </c>
      <c r="B277" s="23">
        <v>-8.4</v>
      </c>
      <c r="C277" s="23">
        <v>-1.4</v>
      </c>
      <c r="D277" s="23">
        <v>99.5</v>
      </c>
      <c r="E277" s="24">
        <f t="shared" si="4"/>
        <v>2019</v>
      </c>
      <c r="F277" s="24"/>
      <c r="G277" s="5"/>
      <c r="H277" s="11"/>
      <c r="I277" s="14"/>
      <c r="J277" s="14"/>
    </row>
    <row r="278" spans="1:11">
      <c r="A278" s="16">
        <v>43831</v>
      </c>
      <c r="B278" s="18">
        <v>-4.3</v>
      </c>
      <c r="C278" s="18">
        <v>10.7</v>
      </c>
      <c r="D278" s="25">
        <v>100.9</v>
      </c>
      <c r="E278" s="24">
        <f t="shared" si="4"/>
        <v>2020</v>
      </c>
      <c r="F278" s="24"/>
      <c r="G278" s="5"/>
      <c r="H278" s="11"/>
    </row>
    <row r="279" spans="1:11">
      <c r="A279" s="16">
        <v>43862</v>
      </c>
      <c r="B279" s="18">
        <v>-1.6</v>
      </c>
      <c r="C279" s="18">
        <v>4.7</v>
      </c>
      <c r="D279" s="25">
        <v>100.2</v>
      </c>
      <c r="E279" s="24">
        <f t="shared" si="4"/>
        <v>2020</v>
      </c>
      <c r="F279" s="24"/>
      <c r="G279" s="5"/>
      <c r="J279" s="1"/>
    </row>
    <row r="280" spans="1:11">
      <c r="A280" s="16">
        <v>43891</v>
      </c>
      <c r="B280" s="18">
        <v>-7.6</v>
      </c>
      <c r="C280" s="18">
        <v>5.5</v>
      </c>
      <c r="D280" s="25">
        <v>99.7</v>
      </c>
      <c r="E280" s="24">
        <f t="shared" si="4"/>
        <v>2020</v>
      </c>
      <c r="F280" s="24"/>
      <c r="G280" s="5"/>
      <c r="J280" s="1"/>
    </row>
    <row r="281" spans="1:11">
      <c r="A281" s="16">
        <v>43922</v>
      </c>
      <c r="B281" s="18">
        <v>-67.900000000000006</v>
      </c>
      <c r="C281" s="18">
        <v>-20.5</v>
      </c>
      <c r="D281" s="25">
        <v>98.6</v>
      </c>
      <c r="E281" s="24">
        <f t="shared" si="4"/>
        <v>2020</v>
      </c>
      <c r="F281" s="24"/>
      <c r="G281" s="5"/>
      <c r="J281" s="1"/>
    </row>
    <row r="282" spans="1:11">
      <c r="A282" s="16">
        <v>43952</v>
      </c>
      <c r="B282" s="18">
        <v>-42.2</v>
      </c>
      <c r="C282" s="18">
        <v>-27.6</v>
      </c>
      <c r="D282" s="25">
        <v>98.3</v>
      </c>
      <c r="E282" s="24">
        <f t="shared" si="4"/>
        <v>2020</v>
      </c>
      <c r="F282" s="24"/>
      <c r="G282" s="5"/>
      <c r="J282" s="1"/>
    </row>
    <row r="283" spans="1:11">
      <c r="A283" s="16">
        <v>43983</v>
      </c>
      <c r="B283" s="18">
        <v>-15.5</v>
      </c>
      <c r="C283" s="18">
        <v>-24.2</v>
      </c>
      <c r="D283" s="25">
        <v>99.2</v>
      </c>
      <c r="E283" s="24">
        <f t="shared" si="4"/>
        <v>2020</v>
      </c>
      <c r="F283" s="24"/>
      <c r="G283" s="5"/>
      <c r="J283" s="1"/>
    </row>
    <row r="284" spans="1:11">
      <c r="A284" s="16">
        <v>44013</v>
      </c>
      <c r="B284" s="18">
        <v>-4.2</v>
      </c>
      <c r="C284" s="18">
        <v>-16.7</v>
      </c>
      <c r="D284" s="25">
        <v>99.4</v>
      </c>
      <c r="E284" s="24">
        <f t="shared" si="4"/>
        <v>2020</v>
      </c>
      <c r="F284" s="24"/>
      <c r="G284" s="5"/>
    </row>
    <row r="285" spans="1:11">
      <c r="A285" s="16">
        <v>44044</v>
      </c>
      <c r="B285" s="18">
        <v>-6.7</v>
      </c>
      <c r="C285" s="18">
        <v>-6.5</v>
      </c>
      <c r="D285" s="25">
        <v>98.7</v>
      </c>
      <c r="E285" s="24">
        <f t="shared" si="4"/>
        <v>2020</v>
      </c>
      <c r="F285" s="24"/>
      <c r="G285" s="5"/>
      <c r="K285" s="1"/>
    </row>
    <row r="286" spans="1:11">
      <c r="A286" s="16">
        <v>44075</v>
      </c>
      <c r="B286" s="18">
        <v>-7.3</v>
      </c>
      <c r="C286" s="18">
        <v>-5</v>
      </c>
      <c r="D286" s="25">
        <v>98.6</v>
      </c>
      <c r="E286" s="24">
        <f t="shared" si="4"/>
        <v>2020</v>
      </c>
      <c r="F286" s="24"/>
      <c r="G286" s="5"/>
      <c r="K286" s="1"/>
    </row>
    <row r="287" spans="1:11">
      <c r="A287" s="16">
        <v>44105</v>
      </c>
      <c r="B287" s="18">
        <v>-15.4</v>
      </c>
      <c r="C287" s="18">
        <v>-3.9</v>
      </c>
      <c r="D287" s="18">
        <v>99.6</v>
      </c>
      <c r="E287" s="24">
        <f t="shared" si="4"/>
        <v>2020</v>
      </c>
      <c r="F287" s="24"/>
      <c r="G287" s="5"/>
      <c r="I287" s="1"/>
      <c r="K287" s="1"/>
    </row>
    <row r="288" spans="1:11">
      <c r="A288" s="16">
        <v>44136</v>
      </c>
      <c r="B288" s="18">
        <v>-33.1</v>
      </c>
      <c r="C288" s="18">
        <v>-7.9</v>
      </c>
      <c r="D288" s="18">
        <v>99.8</v>
      </c>
      <c r="E288" s="24">
        <f t="shared" si="4"/>
        <v>2020</v>
      </c>
      <c r="F288" s="24"/>
      <c r="G288" s="5"/>
      <c r="I288" s="1"/>
      <c r="K288" s="1"/>
    </row>
    <row r="289" spans="1:11">
      <c r="A289" s="16">
        <v>44166</v>
      </c>
      <c r="B289" s="18">
        <v>-22.1</v>
      </c>
      <c r="C289" s="18">
        <v>-7.4</v>
      </c>
      <c r="D289" s="18">
        <v>100.1</v>
      </c>
      <c r="E289" s="24">
        <f t="shared" si="4"/>
        <v>2020</v>
      </c>
      <c r="F289" s="24"/>
      <c r="G289" s="5"/>
      <c r="I289" s="1"/>
      <c r="K289" s="1"/>
    </row>
    <row r="290" spans="1:11">
      <c r="A290" s="16">
        <v>44197</v>
      </c>
      <c r="B290" s="18">
        <v>-13.8</v>
      </c>
      <c r="C290" s="18">
        <v>-6</v>
      </c>
      <c r="D290" s="18">
        <v>101</v>
      </c>
      <c r="E290" s="24">
        <f t="shared" si="4"/>
        <v>2021</v>
      </c>
      <c r="F290" s="24"/>
      <c r="G290" s="5"/>
      <c r="I290" s="14"/>
      <c r="K290" s="1"/>
    </row>
    <row r="291" spans="1:11">
      <c r="A291" s="16">
        <v>44228</v>
      </c>
      <c r="B291" s="18">
        <v>-7.3</v>
      </c>
      <c r="C291" s="18">
        <v>-9.1999999999999993</v>
      </c>
      <c r="D291" s="18">
        <v>102.2</v>
      </c>
      <c r="E291" s="24">
        <f t="shared" si="4"/>
        <v>2021</v>
      </c>
      <c r="F291" s="24"/>
      <c r="G291" s="5"/>
      <c r="I291" s="14"/>
    </row>
    <row r="292" spans="1:11">
      <c r="A292" s="16">
        <v>44256</v>
      </c>
      <c r="B292" s="18">
        <v>-3.4</v>
      </c>
      <c r="C292" s="18">
        <v>-9.8000000000000007</v>
      </c>
      <c r="D292" s="18">
        <v>104.2</v>
      </c>
      <c r="E292" s="24">
        <f t="shared" si="4"/>
        <v>2021</v>
      </c>
      <c r="F292" s="24"/>
      <c r="G292" s="5"/>
      <c r="I292" s="14"/>
    </row>
    <row r="293" spans="1:11">
      <c r="A293" s="16">
        <v>44287</v>
      </c>
      <c r="B293" s="18">
        <v>-2.8</v>
      </c>
      <c r="C293" s="18">
        <v>-5.0999999999999996</v>
      </c>
      <c r="D293" s="18">
        <v>105.5</v>
      </c>
      <c r="E293" s="24">
        <f t="shared" si="4"/>
        <v>2021</v>
      </c>
      <c r="F293" s="24"/>
      <c r="G293" s="5"/>
      <c r="I293" s="14"/>
    </row>
    <row r="294" spans="1:11">
      <c r="A294" s="16">
        <v>44317</v>
      </c>
      <c r="B294" s="18">
        <v>1.9</v>
      </c>
      <c r="C294" s="18">
        <v>-2.5</v>
      </c>
      <c r="D294" s="18">
        <v>106.6</v>
      </c>
      <c r="E294" s="24">
        <f t="shared" si="4"/>
        <v>2021</v>
      </c>
      <c r="F294" s="24"/>
      <c r="G294" s="5"/>
      <c r="I294" s="14"/>
    </row>
    <row r="295" spans="1:11">
      <c r="A295" s="16">
        <v>44348</v>
      </c>
      <c r="B295" s="18">
        <v>0.6</v>
      </c>
      <c r="C295" s="18">
        <v>-1.8</v>
      </c>
      <c r="D295" s="18">
        <v>107.2</v>
      </c>
      <c r="E295" s="24">
        <f t="shared" si="4"/>
        <v>2021</v>
      </c>
      <c r="F295" s="24"/>
      <c r="G295" s="5"/>
      <c r="I295" s="14"/>
    </row>
    <row r="296" spans="1:11">
      <c r="A296" s="16">
        <v>44378</v>
      </c>
      <c r="B296" s="18">
        <v>-2.8</v>
      </c>
      <c r="C296" s="18">
        <v>0</v>
      </c>
      <c r="D296" s="18">
        <v>108.4</v>
      </c>
      <c r="E296" s="24">
        <f t="shared" si="4"/>
        <v>2021</v>
      </c>
      <c r="F296" s="24"/>
      <c r="G296" s="5"/>
      <c r="I296" s="14"/>
    </row>
    <row r="297" spans="1:11">
      <c r="A297" s="16">
        <v>44409</v>
      </c>
      <c r="B297" s="18">
        <v>-1.9</v>
      </c>
      <c r="C297" s="18">
        <v>0.2</v>
      </c>
      <c r="D297" s="18">
        <v>109.6</v>
      </c>
      <c r="E297" s="24">
        <f t="shared" si="4"/>
        <v>2021</v>
      </c>
      <c r="F297" s="24"/>
      <c r="G297" s="5"/>
      <c r="I297" s="14"/>
    </row>
    <row r="298" spans="1:11">
      <c r="A298" s="16">
        <v>44440</v>
      </c>
      <c r="B298" s="18">
        <v>-5.5</v>
      </c>
      <c r="C298" s="18">
        <v>-1.6</v>
      </c>
      <c r="D298" s="18">
        <v>110.3</v>
      </c>
      <c r="E298" s="24">
        <f t="shared" si="4"/>
        <v>2021</v>
      </c>
      <c r="F298" s="24"/>
      <c r="G298" s="5"/>
      <c r="I298" s="14"/>
    </row>
    <row r="299" spans="1:11">
      <c r="A299" s="16">
        <v>44470</v>
      </c>
      <c r="B299" s="18">
        <v>-8.4</v>
      </c>
      <c r="C299" s="18">
        <v>-4.2</v>
      </c>
      <c r="D299" s="18">
        <v>112</v>
      </c>
      <c r="E299" s="24">
        <f t="shared" si="4"/>
        <v>2021</v>
      </c>
      <c r="F299" s="24"/>
      <c r="G299" s="5"/>
      <c r="I299" s="14"/>
    </row>
    <row r="300" spans="1:11">
      <c r="A300" s="16">
        <v>44501</v>
      </c>
      <c r="B300" s="18">
        <v>-17.8</v>
      </c>
      <c r="C300" s="18">
        <v>-3.2</v>
      </c>
      <c r="D300" s="18">
        <v>113.6</v>
      </c>
      <c r="E300" s="24">
        <f t="shared" si="4"/>
        <v>2021</v>
      </c>
      <c r="F300" s="24"/>
      <c r="G300" s="5"/>
      <c r="I300" s="14"/>
    </row>
    <row r="301" spans="1:11">
      <c r="A301" s="16">
        <v>44531</v>
      </c>
      <c r="B301" s="18">
        <v>-18.7</v>
      </c>
      <c r="C301" s="18">
        <v>-5.7</v>
      </c>
      <c r="D301" s="19">
        <v>114.4</v>
      </c>
      <c r="E301" s="24">
        <f t="shared" si="4"/>
        <v>2021</v>
      </c>
      <c r="F301" s="24"/>
      <c r="G301" s="5"/>
      <c r="I301" s="15"/>
    </row>
    <row r="302" spans="1:11">
      <c r="A302" s="16">
        <v>44562</v>
      </c>
      <c r="B302" s="17">
        <v>-17.3</v>
      </c>
      <c r="C302" s="17">
        <v>-7.4</v>
      </c>
      <c r="D302" s="18">
        <v>113.8</v>
      </c>
      <c r="E302" s="24">
        <f t="shared" si="4"/>
        <v>2022</v>
      </c>
      <c r="F302" s="24"/>
      <c r="G302" s="5"/>
    </row>
    <row r="303" spans="1:11">
      <c r="A303" s="16">
        <v>44593</v>
      </c>
      <c r="B303" s="18">
        <v>-12.7</v>
      </c>
      <c r="C303" s="18">
        <v>-8.6999999999999993</v>
      </c>
      <c r="D303" s="18">
        <v>114.5</v>
      </c>
      <c r="E303" s="24">
        <f t="shared" si="4"/>
        <v>2022</v>
      </c>
      <c r="F303" s="24"/>
      <c r="G303" s="5"/>
    </row>
    <row r="304" spans="1:11">
      <c r="A304" s="16">
        <v>44621</v>
      </c>
      <c r="B304" s="18">
        <v>-23.2</v>
      </c>
      <c r="C304" s="18">
        <v>-9.1</v>
      </c>
      <c r="D304" s="18">
        <v>119.3</v>
      </c>
      <c r="E304" s="24">
        <f t="shared" si="4"/>
        <v>2022</v>
      </c>
    </row>
    <row r="305" spans="1:5">
      <c r="A305" s="16">
        <v>44652</v>
      </c>
      <c r="B305" s="18">
        <v>-14.3</v>
      </c>
      <c r="C305" s="18">
        <v>-8.6999999999999993</v>
      </c>
      <c r="D305" s="18">
        <v>121.2</v>
      </c>
      <c r="E305" s="24">
        <f t="shared" si="4"/>
        <v>2022</v>
      </c>
    </row>
    <row r="306" spans="1:5">
      <c r="A306" s="16">
        <v>44682</v>
      </c>
      <c r="B306" s="18">
        <v>-12.3</v>
      </c>
      <c r="C306" s="18">
        <v>-6.9</v>
      </c>
      <c r="D306" s="18">
        <v>122.5</v>
      </c>
      <c r="E306" s="24">
        <f t="shared" si="4"/>
        <v>2022</v>
      </c>
    </row>
    <row r="307" spans="1:5">
      <c r="A307" s="16">
        <v>44713</v>
      </c>
      <c r="B307" s="18">
        <v>-17.100000000000001</v>
      </c>
      <c r="C307" s="18">
        <v>-8.9</v>
      </c>
      <c r="D307" s="18">
        <v>122.9</v>
      </c>
      <c r="E307" s="24">
        <f t="shared" si="4"/>
        <v>2022</v>
      </c>
    </row>
    <row r="308" spans="1:5">
      <c r="A308" s="16">
        <v>44743</v>
      </c>
      <c r="B308" s="18">
        <v>-20.6</v>
      </c>
      <c r="C308" s="18">
        <v>-10.5</v>
      </c>
      <c r="D308" s="18">
        <v>121.7</v>
      </c>
      <c r="E308" s="24">
        <f t="shared" si="4"/>
        <v>2022</v>
      </c>
    </row>
    <row r="309" spans="1:5">
      <c r="A309" s="16">
        <v>44774</v>
      </c>
      <c r="B309" s="18">
        <v>-19.3</v>
      </c>
      <c r="C309" s="18">
        <v>-11</v>
      </c>
      <c r="D309" s="18">
        <v>120.1</v>
      </c>
      <c r="E309" s="24">
        <f t="shared" si="4"/>
        <v>2022</v>
      </c>
    </row>
    <row r="310" spans="1:5">
      <c r="A310" s="16">
        <v>44805</v>
      </c>
      <c r="B310" s="18">
        <v>-24.4</v>
      </c>
      <c r="C310" s="18">
        <v>-13.1</v>
      </c>
      <c r="D310" s="18">
        <v>119.5</v>
      </c>
      <c r="E310" s="24">
        <f t="shared" si="4"/>
        <v>2022</v>
      </c>
    </row>
    <row r="311" spans="1:5">
      <c r="A311" s="16">
        <v>44835</v>
      </c>
      <c r="B311" s="18">
        <v>-27.6</v>
      </c>
      <c r="C311" s="18">
        <v>-14.5</v>
      </c>
      <c r="D311" s="18">
        <v>119.1</v>
      </c>
      <c r="E311" s="24">
        <f t="shared" si="4"/>
        <v>2022</v>
      </c>
    </row>
    <row r="312" spans="1:5">
      <c r="A312" s="16">
        <v>44866</v>
      </c>
      <c r="B312" s="18">
        <v>-27.7</v>
      </c>
      <c r="C312" s="18">
        <v>-13.5</v>
      </c>
      <c r="D312" s="18">
        <v>116.2</v>
      </c>
      <c r="E312" s="24">
        <f t="shared" si="4"/>
        <v>2022</v>
      </c>
    </row>
    <row r="313" spans="1:5">
      <c r="A313" s="16">
        <v>44896</v>
      </c>
      <c r="B313" s="18">
        <v>-25.7</v>
      </c>
      <c r="C313" s="18">
        <v>-13.2</v>
      </c>
      <c r="D313" s="18">
        <v>115.2</v>
      </c>
      <c r="E313" s="24">
        <f t="shared" si="4"/>
        <v>2022</v>
      </c>
    </row>
    <row r="314" spans="1:5">
      <c r="A314" s="16">
        <v>44927</v>
      </c>
      <c r="B314" s="18">
        <v>-24.3</v>
      </c>
      <c r="C314" s="18">
        <v>-12.1</v>
      </c>
      <c r="D314" s="18">
        <v>113.4</v>
      </c>
      <c r="E314" s="24">
        <f t="shared" si="4"/>
        <v>2023</v>
      </c>
    </row>
    <row r="315" spans="1:5">
      <c r="A315" s="16">
        <v>44958</v>
      </c>
      <c r="B315" s="18">
        <v>-15</v>
      </c>
      <c r="C315" s="18">
        <v>-13</v>
      </c>
      <c r="D315" s="18">
        <v>111.3</v>
      </c>
      <c r="E315" s="24">
        <f t="shared" si="4"/>
        <v>2023</v>
      </c>
    </row>
    <row r="316" spans="1:5">
      <c r="A316" s="16">
        <v>44986</v>
      </c>
      <c r="B316" s="18">
        <v>-11.4</v>
      </c>
      <c r="C316" s="18">
        <v>-14.3</v>
      </c>
      <c r="D316" s="18">
        <v>104.7</v>
      </c>
      <c r="E316" s="24">
        <f t="shared" si="4"/>
        <v>2023</v>
      </c>
    </row>
    <row r="317" spans="1:5">
      <c r="A317" s="16">
        <v>45017</v>
      </c>
      <c r="B317" s="18">
        <v>-8.4</v>
      </c>
      <c r="C317" s="18">
        <v>-13.1</v>
      </c>
      <c r="D317" s="18">
        <v>101.5</v>
      </c>
      <c r="E317" s="24">
        <f t="shared" si="4"/>
        <v>2023</v>
      </c>
    </row>
    <row r="318" spans="1:5">
      <c r="A318" s="16">
        <v>45047</v>
      </c>
      <c r="B318" s="18">
        <v>-10.9</v>
      </c>
      <c r="C318" s="18">
        <v>-13.4</v>
      </c>
      <c r="D318" s="18">
        <v>97.8</v>
      </c>
      <c r="E318" s="24">
        <f t="shared" si="4"/>
        <v>2023</v>
      </c>
    </row>
    <row r="319" spans="1:5">
      <c r="A319" s="16">
        <v>45078</v>
      </c>
      <c r="B319" s="18">
        <v>-12.3</v>
      </c>
      <c r="C319" s="18">
        <v>-11.4</v>
      </c>
      <c r="D319" s="18">
        <v>95.5</v>
      </c>
      <c r="E319" s="24">
        <f t="shared" si="4"/>
        <v>2023</v>
      </c>
    </row>
    <row r="320" spans="1:5">
      <c r="A320" s="16">
        <v>45108</v>
      </c>
      <c r="B320" s="18">
        <v>-13.7</v>
      </c>
      <c r="C320" s="18">
        <v>-14.3</v>
      </c>
      <c r="D320" s="18">
        <v>93.9</v>
      </c>
      <c r="E320" s="24">
        <f t="shared" si="4"/>
        <v>2023</v>
      </c>
    </row>
    <row r="321" spans="1:5">
      <c r="A321" s="16">
        <v>45139</v>
      </c>
      <c r="B321" s="18">
        <v>-9.9</v>
      </c>
      <c r="C321" s="18">
        <v>-14.1</v>
      </c>
      <c r="D321" s="18">
        <v>94.5</v>
      </c>
      <c r="E321" s="24">
        <f t="shared" si="4"/>
        <v>2023</v>
      </c>
    </row>
    <row r="322" spans="1:5">
      <c r="A322" s="16">
        <v>45170</v>
      </c>
      <c r="B322" s="18">
        <v>-10.7</v>
      </c>
      <c r="C322" s="18">
        <v>-14.9</v>
      </c>
      <c r="D322" s="18">
        <v>94.5</v>
      </c>
      <c r="E322" s="24">
        <f t="shared" si="4"/>
        <v>2023</v>
      </c>
    </row>
    <row r="323" spans="1:5">
      <c r="A323" s="16">
        <v>45200</v>
      </c>
      <c r="B323" s="18">
        <v>-12.2</v>
      </c>
      <c r="C323" s="18">
        <v>-13.5</v>
      </c>
      <c r="D323" s="19">
        <v>92.1</v>
      </c>
      <c r="E323" s="24">
        <f t="shared" ref="E323:E325" si="5">YEAR(A323)</f>
        <v>2023</v>
      </c>
    </row>
    <row r="324" spans="1:5">
      <c r="A324" s="16">
        <v>45231</v>
      </c>
      <c r="B324" s="17">
        <v>-13.8</v>
      </c>
      <c r="C324" s="17">
        <v>-10.4</v>
      </c>
      <c r="D324" s="19">
        <v>92.3</v>
      </c>
      <c r="E324" s="24">
        <f t="shared" si="5"/>
        <v>2023</v>
      </c>
    </row>
    <row r="325" spans="1:5">
      <c r="A325" s="16">
        <v>45261</v>
      </c>
      <c r="B325" s="17">
        <v>-15.9</v>
      </c>
      <c r="C325" s="17">
        <v>-12.8</v>
      </c>
      <c r="D325" s="30">
        <v>91.6</v>
      </c>
      <c r="E325" s="24">
        <f t="shared" si="5"/>
        <v>2023</v>
      </c>
    </row>
  </sheetData>
  <phoneticPr fontId="2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8"/>
  <sheetViews>
    <sheetView zoomScale="110" zoomScaleNormal="110" workbookViewId="0">
      <selection activeCell="B15" sqref="B15"/>
    </sheetView>
  </sheetViews>
  <sheetFormatPr baseColWidth="10" defaultColWidth="8.83203125" defaultRowHeight="16"/>
  <cols>
    <col min="1" max="1" width="8.83203125" style="6" customWidth="1"/>
    <col min="2" max="2" width="21.33203125" style="6" customWidth="1"/>
    <col min="3" max="3" width="11" style="6" customWidth="1"/>
    <col min="4" max="6" width="8.6640625" style="6" customWidth="1"/>
    <col min="7" max="7" width="30.5" style="6" bestFit="1" customWidth="1"/>
    <col min="8" max="9" width="8.6640625" style="6" customWidth="1"/>
  </cols>
  <sheetData>
    <row r="2" spans="1:4">
      <c r="A2" s="7" t="s">
        <v>1</v>
      </c>
      <c r="B2" s="6" t="s">
        <v>5</v>
      </c>
    </row>
    <row r="3" spans="1:4">
      <c r="A3" s="7" t="s">
        <v>0</v>
      </c>
      <c r="B3" s="6" t="s">
        <v>6</v>
      </c>
    </row>
    <row r="4" spans="1:4">
      <c r="A4" s="7" t="s">
        <v>2</v>
      </c>
      <c r="B4" s="6" t="s">
        <v>7</v>
      </c>
    </row>
    <row r="5" spans="1:4">
      <c r="B5" s="4" t="s">
        <v>8</v>
      </c>
    </row>
    <row r="6" spans="1:4">
      <c r="B6" s="4" t="s">
        <v>9</v>
      </c>
    </row>
    <row r="7" spans="1:4">
      <c r="B7" s="4"/>
    </row>
    <row r="8" spans="1:4">
      <c r="C8" s="7" t="s">
        <v>3</v>
      </c>
    </row>
    <row r="9" spans="1:4">
      <c r="B9" s="8" t="s">
        <v>16</v>
      </c>
      <c r="C9" s="6" t="s">
        <v>13</v>
      </c>
      <c r="D9" s="13"/>
    </row>
    <row r="10" spans="1:4">
      <c r="B10" s="8" t="s">
        <v>17</v>
      </c>
      <c r="C10" s="6" t="s">
        <v>14</v>
      </c>
      <c r="D10" s="13"/>
    </row>
    <row r="11" spans="1:4">
      <c r="B11" s="9" t="s">
        <v>18</v>
      </c>
      <c r="C11" s="6" t="s">
        <v>10</v>
      </c>
      <c r="D11" s="13"/>
    </row>
    <row r="12" spans="1:4">
      <c r="B12" s="10" t="s">
        <v>19</v>
      </c>
      <c r="C12" s="6" t="s">
        <v>11</v>
      </c>
      <c r="D12" s="13"/>
    </row>
    <row r="13" spans="1:4">
      <c r="B13" s="9" t="s">
        <v>20</v>
      </c>
      <c r="C13" s="6" t="s">
        <v>15</v>
      </c>
      <c r="D13" s="13"/>
    </row>
    <row r="14" spans="1:4">
      <c r="B14" s="9" t="s">
        <v>21</v>
      </c>
      <c r="C14" s="6" t="s">
        <v>12</v>
      </c>
      <c r="D14" s="13"/>
    </row>
    <row r="15" spans="1:4">
      <c r="C15" s="12"/>
      <c r="D15" s="13"/>
    </row>
    <row r="16" spans="1:4">
      <c r="C16" s="12"/>
      <c r="D16" s="13"/>
    </row>
    <row r="17" spans="3:4">
      <c r="C17" s="12"/>
      <c r="D17" s="13"/>
    </row>
    <row r="18" spans="3:4">
      <c r="C18" s="12"/>
      <c r="D18" s="13"/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</dc:creator>
  <cp:lastModifiedBy>Linh Tran</cp:lastModifiedBy>
  <dcterms:created xsi:type="dcterms:W3CDTF">2003-03-27T16:23:11Z</dcterms:created>
  <dcterms:modified xsi:type="dcterms:W3CDTF">2026-01-02T13:30:41Z</dcterms:modified>
</cp:coreProperties>
</file>